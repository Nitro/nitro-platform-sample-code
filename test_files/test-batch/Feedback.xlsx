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1"/>
  <workbookPr/>
  <mc:AlternateContent xmlns:mc="http://schemas.openxmlformats.org/markup-compatibility/2006">
    <mc:Choice Requires="x15">
      <x15ac:absPath xmlns:x15ac="http://schemas.microsoft.com/office/spreadsheetml/2010/11/ac" url="/Users/bomullane/Development/nitro-platform-integrations/test_files/test-batch/"/>
    </mc:Choice>
  </mc:AlternateContent>
  <xr:revisionPtr revIDLastSave="0" documentId="8_{28B6AB12-9F50-924B-8D87-CEA3C544650C}" xr6:coauthVersionLast="47" xr6:coauthVersionMax="47" xr10:uidLastSave="{00000000-0000-0000-0000-000000000000}"/>
  <bookViews>
    <workbookView xWindow="0" yWindow="660" windowWidth="30240" windowHeight="18980" xr2:uid="{72499909-4E42-D648-AC49-B761E21A94F3}"/>
  </bookViews>
  <sheets>
    <sheet name="Intro" sheetId="20" r:id="rId1"/>
    <sheet name="Assessment Ratings" sheetId="1" r:id="rId2"/>
    <sheet name="Visuals" sheetId="2" r:id="rId3"/>
  </sheets>
  <definedNames>
    <definedName name="_xlnm.Print_Area" localSheetId="1">'Assessment Ratings'!$A$1:$F$45</definedName>
    <definedName name="_xlnm.Print_Titles" localSheetId="1">'Assessment Ratings'!$1:$1</definedName>
    <definedName name="Z_28FADFC5_F3F6_11D2_982A_E4BA0CC10000_.wvu.Cols" localSheetId="1" hidden="1">'Assessment Ratings'!$D:$E</definedName>
    <definedName name="Z_28FADFC5_F3F6_11D2_982A_E4BA0CC10000_.wvu.PrintArea" localSheetId="1" hidden="1">'Assessment Ratings'!$A$1:$F$45</definedName>
    <definedName name="Z_28FADFC5_F3F6_11D2_982A_E4BA0CC10000_.wvu.PrintTitles" localSheetId="1" hidden="1">'Assessment Ratings'!$1:$1</definedName>
    <definedName name="Z_28FADFC5_F3F6_11D2_982A_E4BA0CC10000_.wvu.Rows" localSheetId="1" hidden="1">'Assessment Ratings'!#REF!,'Assessment Ratings'!#REF!,'Assessment Ratings'!#REF!,'Assessment Ratings'!#REF!,'Assessment Ratings'!#REF!,'Assessment Ratings'!#REF!,'Assessment Ratings'!#REF!,'Assessment Ratings'!#REF!,'Assessment Ratings'!#REF!,'Assessment Ratings'!#REF!,'Assessment Ratings'!#REF!,'Assessment Ratings'!#REF!,'Assessment Ratings'!#REF!,'Assessment Ratings'!#REF!,'Assessment Ratings'!#REF!,'Assessment Ratings'!#REF!,'Assessment Ratings'!#REF!</definedName>
    <definedName name="Z_28FADFC6_F3F6_11D2_982A_E4BA0CC10000_.wvu.PrintArea" localSheetId="1" hidden="1">'Assessment Ratings'!$A$1:$F$45</definedName>
    <definedName name="Z_28FADFC6_F3F6_11D2_982A_E4BA0CC10000_.wvu.PrintTitles" localSheetId="1" hidden="1">'Assessment Ratings'!$1:$1</definedName>
  </definedNames>
  <calcPr calcId="191029" fullCalcOnLoad="1"/>
  <customWorkbookViews>
    <customWorkbookView name="Full" guid="{28FADFC6-F3F6-11D2-982A-E4BA0CC10000}" maximized="1" windowWidth="950" windowHeight="512" activeSheetId="1"/>
    <customWorkbookView name="Collapsed" guid="{28FADFC5-F3F6-11D2-982A-E4BA0CC10000}" maximized="1" windowWidth="950" windowHeight="512"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5" i="1" l="1"/>
  <c r="F39" i="1"/>
  <c r="F43" i="1"/>
  <c r="K4" i="2" s="1"/>
  <c r="J4" i="2"/>
  <c r="J5" i="2"/>
  <c r="J6" i="2"/>
  <c r="F29" i="1"/>
  <c r="F25" i="1"/>
  <c r="F33" i="1" s="1"/>
  <c r="K5" i="2" s="1"/>
  <c r="F19" i="1"/>
  <c r="F15" i="1"/>
  <c r="F11" i="1"/>
  <c r="F23" i="1" s="1"/>
  <c r="K6" i="2" s="1"/>
  <c r="F7" i="1"/>
  <c r="F3" i="1"/>
  <c r="K7" i="2" l="1"/>
  <c r="F24" i="1"/>
</calcChain>
</file>

<file path=xl/sharedStrings.xml><?xml version="1.0" encoding="utf-8"?>
<sst xmlns="http://schemas.openxmlformats.org/spreadsheetml/2006/main" count="63" uniqueCount="60">
  <si>
    <t>Required data exists within the BFA or is available from another BFA.</t>
  </si>
  <si>
    <t>Category</t>
  </si>
  <si>
    <t>Background</t>
  </si>
  <si>
    <t>High Level Graph</t>
  </si>
  <si>
    <t>High Level View</t>
  </si>
  <si>
    <t>Mid Level Graphs</t>
  </si>
  <si>
    <t>Summary</t>
  </si>
  <si>
    <t>Overall</t>
  </si>
  <si>
    <t>Organizational Capital</t>
  </si>
  <si>
    <t>Human Capital</t>
  </si>
  <si>
    <t>Information Capital</t>
  </si>
  <si>
    <t>The organization has a clear mission that is understood by employees.</t>
  </si>
  <si>
    <t>Leadership shares information about organizational performance and decisions with employees.</t>
  </si>
  <si>
    <t>There is a regular process for receiving, logging, and responding to feedback provided by employees.</t>
  </si>
  <si>
    <t>The organization's leadership team has a clear strategic plan that is inclusive of ideas generated from its employees.</t>
  </si>
  <si>
    <t>Employees understand the strategic plan and can identify the parts of the strategic plan that they impact in their jobs.</t>
  </si>
  <si>
    <t>There is a regular process for receiving, logging, and responding to feedback provided by customers.</t>
  </si>
  <si>
    <t>Employees are encouraged and empowered to recommend new initiatives that would enhance the customer experience.</t>
  </si>
  <si>
    <t>Employees can readily identify with their target, priority customers and their needs.</t>
  </si>
  <si>
    <t>There is a clearly understood and efficient process for evaluating the organization's performance.</t>
  </si>
  <si>
    <t>Employees clearly understand know how the measures they use in their work fit into the organization’s overall measures of performance.</t>
  </si>
  <si>
    <t>Employees get all the information they need to do their work as well as information about the performance of the organization.</t>
  </si>
  <si>
    <t>Organizational products and services meet the needs of the customer base.</t>
  </si>
  <si>
    <t>Employees cooperate and work as a team, both internally and with external partners.</t>
  </si>
  <si>
    <t>Employees are encouraged to develop their job skills so they can more effectively fulfill the organization's mission.</t>
  </si>
  <si>
    <t>The organization employs the appropriate skill sets to most effectively and efficiently fulfill the mission.</t>
  </si>
  <si>
    <t>The organization's processes are effective in fulfilling the mission as a most efficient organization.</t>
  </si>
  <si>
    <t>Processes are documented and monitored to ensure efficient operations throughout the fiscal year.</t>
  </si>
  <si>
    <t>The organization's dependencies and relationships with external organizations are documented and business service terms are defined.</t>
  </si>
  <si>
    <t>The organization's existing systems are secure and certified as required.</t>
  </si>
  <si>
    <t>The organization's existing systems are compliant with the enterprise technical standards.</t>
  </si>
  <si>
    <t>The organization's existing systems effectively enable the business processes.</t>
  </si>
  <si>
    <t>There is an established decision making structure for internal as well as partnership based strategic decisions.</t>
  </si>
  <si>
    <t>Assessment Reasoning</t>
  </si>
  <si>
    <t>Assessment Rating</t>
  </si>
  <si>
    <t>ORGANIZATIONAL CAPITAL</t>
  </si>
  <si>
    <t>HUMAN CAPITAL</t>
  </si>
  <si>
    <t>INFORMATION CAPITAL</t>
  </si>
  <si>
    <t>Leadership</t>
  </si>
  <si>
    <t>Strategic Planning</t>
  </si>
  <si>
    <t>Citizen and Market Focus</t>
  </si>
  <si>
    <t>Measurement, Analysis, and Knowledge Management</t>
  </si>
  <si>
    <t>Business Results</t>
  </si>
  <si>
    <t>Human Resource Focus</t>
  </si>
  <si>
    <t>Process Management</t>
  </si>
  <si>
    <t>Systems Focus</t>
  </si>
  <si>
    <t>Data Focus</t>
  </si>
  <si>
    <t>Assessment</t>
  </si>
  <si>
    <t>This template is meant to capture a high level assessment of an organization's human capital, information capital, and organizational capital.  These assessments will be used to form observations that could be included in the organization's Modernization Blueprint as findings and recommendations.</t>
  </si>
  <si>
    <t>Assessment Ratings</t>
  </si>
  <si>
    <t>On the visual tab, the "High Level View" provides a summary of the assessments.</t>
  </si>
  <si>
    <t>On the visual tab, the "High Level Graph" is a radar chart of the three assessment groupings and their respective assessment ratings.</t>
  </si>
  <si>
    <t>On the visual tab, the "Mid Level Graphs" are a series of bar charts of the various dimensions within each assessment grouping and their respective assessment ratings.</t>
  </si>
  <si>
    <t>Data standards exist and are employed within the organization to facilitate data sharing.</t>
  </si>
  <si>
    <t>Employees have access to the data required to do their jobs and are not gathering and storing the data available elsewhere.</t>
  </si>
  <si>
    <r>
      <t>Assessment Rating</t>
    </r>
    <r>
      <rPr>
        <b/>
        <sz val="8"/>
        <color indexed="9"/>
        <rFont val="SapientSansLight"/>
      </rPr>
      <t xml:space="preserve">
(1 = highly disagree, 2 = disagree, 3 = neutral, 4 = agree, 5 = highly agree)</t>
    </r>
  </si>
  <si>
    <t>Customer satisfaction is an organizational objective and is meeting performance targets.</t>
  </si>
  <si>
    <t>Organizational, Human, and Information Capital Assessment Ratings</t>
  </si>
  <si>
    <t>The organization is focused on proving value to the customer base, and does not allow bureaucracy to stand in the way.</t>
  </si>
  <si>
    <t>There are three assessment groupings:  Organizational Capital, Human Capital, and Information Capital.  Within each assessment grouping, there are several dimensions that focus on specific aspects of the grouping.  The assessment statements are intended to evoke a response ranging from "strongly disagree" to "strongly agree".  All values are set to a default value of 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</si>
</sst>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0" formatCode="0.0"/>
  </numFmts>
  <fonts count="19">
    <font>
      <sz val="10"/>
      <name val="Arial"/>
    </font>
    <font>
      <b/>
      <sz val="16"/>
      <name val="Arial"/>
      <family val="2"/>
    </font>
    <font>
      <b/>
      <sz val="10"/>
      <name val="SapientSansRegular"/>
    </font>
    <font>
      <sz val="10"/>
      <name val="SapientSansRegular"/>
    </font>
    <font>
      <b/>
      <sz val="12"/>
      <name val="SapientSansRegular"/>
    </font>
    <font>
      <b/>
      <sz val="16"/>
      <color indexed="9"/>
      <name val="Arial"/>
      <family val="2"/>
    </font>
    <font>
      <b/>
      <sz val="10"/>
      <color indexed="9"/>
      <name val="SapientSansLight"/>
    </font>
    <font>
      <sz val="10"/>
      <name val="SapientSansLight"/>
    </font>
    <font>
      <b/>
      <sz val="10"/>
      <name val="SapientSansLight"/>
    </font>
    <font>
      <sz val="8"/>
      <name val="Arial"/>
      <family val="2"/>
    </font>
    <font>
      <b/>
      <sz val="8"/>
      <color indexed="9"/>
      <name val="SapientSansLight"/>
    </font>
    <font>
      <b/>
      <u/>
      <sz val="10"/>
      <color indexed="9"/>
      <name val="SapientSansLight"/>
    </font>
    <font>
      <b/>
      <sz val="12"/>
      <name val="Arial"/>
      <family val="2"/>
    </font>
    <font>
      <b/>
      <sz val="10"/>
      <color indexed="8"/>
      <name val="SapientSansLight"/>
    </font>
    <font>
      <b/>
      <u/>
      <sz val="10"/>
      <color indexed="56"/>
      <name val="SapientSansLight"/>
    </font>
    <font>
      <b/>
      <sz val="10"/>
      <name val="Arial"/>
      <family val="2"/>
    </font>
    <font>
      <b/>
      <sz val="18"/>
      <name val="SapientSansRegular"/>
    </font>
    <font>
      <b/>
      <sz val="18"/>
      <name val="Arial"/>
      <family val="2"/>
    </font>
    <font>
      <b/>
      <sz val="12"/>
      <color indexed="8"/>
      <name val="SapientSansLight"/>
    </font>
  </fonts>
  <fills count="8">
    <fill>
      <patternFill patternType="none"/>
    </fill>
    <fill>
      <patternFill patternType="gray125"/>
    </fill>
    <fill>
      <patternFill patternType="solid">
        <fgColor indexed="22"/>
        <bgColor indexed="64"/>
      </patternFill>
    </fill>
    <fill>
      <patternFill patternType="solid">
        <fgColor indexed="60"/>
        <bgColor indexed="64"/>
      </patternFill>
    </fill>
    <fill>
      <patternFill patternType="solid">
        <fgColor indexed="8"/>
        <bgColor indexed="64"/>
      </patternFill>
    </fill>
    <fill>
      <patternFill patternType="solid">
        <fgColor indexed="9"/>
        <bgColor indexed="64"/>
      </patternFill>
    </fill>
    <fill>
      <patternFill patternType="solid">
        <fgColor indexed="43"/>
        <bgColor indexed="64"/>
      </patternFill>
    </fill>
    <fill>
      <patternFill patternType="solid">
        <fgColor indexed="23"/>
        <bgColor indexed="64"/>
      </patternFill>
    </fill>
  </fills>
  <borders count="3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double">
        <color indexed="64"/>
      </top>
      <bottom style="medium">
        <color indexed="64"/>
      </bottom>
      <diagonal/>
    </border>
    <border>
      <left/>
      <right style="thin">
        <color indexed="64"/>
      </right>
      <top/>
      <bottom/>
      <diagonal/>
    </border>
    <border>
      <left/>
      <right style="thin">
        <color indexed="64"/>
      </right>
      <top style="double">
        <color indexed="64"/>
      </top>
      <bottom style="medium">
        <color indexed="64"/>
      </bottom>
      <diagonal/>
    </border>
    <border>
      <left/>
      <right/>
      <top style="double">
        <color indexed="64"/>
      </top>
      <bottom style="thin">
        <color indexed="64"/>
      </bottom>
      <diagonal/>
    </border>
    <border>
      <left/>
      <right style="thin">
        <color indexed="64"/>
      </right>
      <top style="double">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double">
        <color indexed="64"/>
      </top>
      <bottom style="medium">
        <color indexed="64"/>
      </bottom>
      <diagonal/>
    </border>
    <border>
      <left style="thin">
        <color indexed="64"/>
      </left>
      <right style="thin">
        <color indexed="64"/>
      </right>
      <top style="double">
        <color indexed="64"/>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style="double">
        <color indexed="64"/>
      </top>
      <bottom style="medium">
        <color indexed="64"/>
      </bottom>
      <diagonal/>
    </border>
    <border>
      <left style="thin">
        <color indexed="64"/>
      </left>
      <right/>
      <top style="double">
        <color indexed="64"/>
      </top>
      <bottom style="thin">
        <color indexed="64"/>
      </bottom>
      <diagonal/>
    </border>
    <border>
      <left/>
      <right style="thin">
        <color indexed="64"/>
      </right>
      <top style="medium">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thin">
        <color indexed="64"/>
      </top>
      <bottom style="medium">
        <color indexed="64"/>
      </bottom>
      <diagonal/>
    </border>
    <border>
      <left style="thin">
        <color indexed="64"/>
      </left>
      <right style="medium">
        <color indexed="64"/>
      </right>
      <top style="thin">
        <color indexed="64"/>
      </top>
      <bottom/>
      <diagonal/>
    </border>
    <border>
      <left/>
      <right style="medium">
        <color indexed="64"/>
      </right>
      <top style="double">
        <color indexed="64"/>
      </top>
      <bottom style="medium">
        <color indexed="64"/>
      </bottom>
      <diagonal/>
    </border>
  </borders>
  <cellStyleXfs count="1">
    <xf numFmtId="0" fontId="0" fillId="0" borderId="0"/>
  </cellStyleXfs>
  <cellXfs count="77">
    <xf numFmtId="0" fontId="0" fillId="0" borderId="0" xfId="0"/>
    <xf numFmtId="0" fontId="7" fillId="0" borderId="0" xfId="0" applyFont="1"/>
    <xf numFmtId="0" fontId="8" fillId="2" borderId="0" xfId="0" applyFont="1" applyFill="1" applyAlignment="1">
      <alignment vertical="top" wrapText="1"/>
    </xf>
    <xf numFmtId="0" fontId="7" fillId="2" borderId="0" xfId="0" applyFont="1" applyFill="1" applyBorder="1" applyAlignment="1">
      <alignment vertical="top"/>
    </xf>
    <xf numFmtId="0" fontId="7" fillId="0" borderId="0" xfId="0" applyFont="1" applyAlignment="1">
      <alignment horizontal="center"/>
    </xf>
    <xf numFmtId="0" fontId="8" fillId="2" borderId="0" xfId="0" applyFont="1" applyFill="1" applyAlignment="1">
      <alignment horizontal="center" vertical="top" wrapText="1"/>
    </xf>
    <xf numFmtId="0" fontId="7" fillId="0" borderId="1" xfId="0" applyFont="1" applyFill="1" applyBorder="1" applyAlignment="1">
      <alignment horizontal="center" vertical="top" wrapText="1"/>
    </xf>
    <xf numFmtId="0" fontId="7" fillId="0" borderId="1" xfId="0" applyFont="1" applyFill="1" applyBorder="1" applyAlignment="1">
      <alignment vertical="top" wrapText="1"/>
    </xf>
    <xf numFmtId="0" fontId="7" fillId="0" borderId="0" xfId="0" applyFont="1" applyAlignment="1">
      <alignment horizontal="left" vertical="center"/>
    </xf>
    <xf numFmtId="0" fontId="7" fillId="0" borderId="0" xfId="0" applyFont="1" applyAlignment="1">
      <alignment vertical="center"/>
    </xf>
    <xf numFmtId="170" fontId="6" fillId="3" borderId="0" xfId="0" applyNumberFormat="1" applyFont="1" applyFill="1" applyBorder="1" applyAlignment="1">
      <alignment horizontal="center" vertical="center" wrapText="1"/>
    </xf>
    <xf numFmtId="0" fontId="7" fillId="0" borderId="2" xfId="0" applyFont="1" applyFill="1" applyBorder="1" applyAlignment="1">
      <alignment horizontal="center" vertical="top" wrapText="1"/>
    </xf>
    <xf numFmtId="0" fontId="7" fillId="0" borderId="2" xfId="0" applyFont="1" applyFill="1" applyBorder="1" applyAlignment="1">
      <alignment vertical="top" wrapText="1"/>
    </xf>
    <xf numFmtId="170" fontId="5" fillId="4" borderId="0" xfId="0" applyNumberFormat="1" applyFont="1" applyFill="1" applyAlignment="1">
      <alignment horizontal="center"/>
    </xf>
    <xf numFmtId="0" fontId="3" fillId="5" borderId="0" xfId="0" applyFont="1" applyFill="1"/>
    <xf numFmtId="0" fontId="3" fillId="5" borderId="0" xfId="0" applyFont="1" applyFill="1" applyAlignment="1">
      <alignment vertical="center"/>
    </xf>
    <xf numFmtId="0" fontId="7" fillId="5" borderId="0" xfId="0" applyFont="1" applyFill="1"/>
    <xf numFmtId="0" fontId="7" fillId="5" borderId="0" xfId="0" applyFont="1" applyFill="1" applyAlignment="1">
      <alignment horizontal="left" vertical="center"/>
    </xf>
    <xf numFmtId="0" fontId="0" fillId="5" borderId="0" xfId="0" applyFill="1"/>
    <xf numFmtId="170" fontId="1" fillId="5" borderId="0" xfId="0" applyNumberFormat="1" applyFont="1" applyFill="1"/>
    <xf numFmtId="170" fontId="0" fillId="5" borderId="0" xfId="0" applyNumberFormat="1" applyFill="1"/>
    <xf numFmtId="170" fontId="12" fillId="5" borderId="1" xfId="0" applyNumberFormat="1" applyFont="1" applyFill="1" applyBorder="1" applyAlignment="1">
      <alignment horizontal="center" vertical="center"/>
    </xf>
    <xf numFmtId="170" fontId="12" fillId="5" borderId="2" xfId="0" applyNumberFormat="1" applyFont="1" applyFill="1" applyBorder="1" applyAlignment="1">
      <alignment horizontal="center" vertical="center"/>
    </xf>
    <xf numFmtId="0" fontId="7" fillId="6" borderId="3" xfId="0" applyFont="1" applyFill="1" applyBorder="1" applyAlignment="1">
      <alignment horizontal="left" vertical="center"/>
    </xf>
    <xf numFmtId="0" fontId="6" fillId="6" borderId="3" xfId="0" applyFont="1" applyFill="1" applyBorder="1" applyAlignment="1">
      <alignment horizontal="left" vertical="center" wrapText="1"/>
    </xf>
    <xf numFmtId="170" fontId="14" fillId="2" borderId="4" xfId="0" applyNumberFormat="1" applyFont="1" applyFill="1" applyBorder="1" applyAlignment="1">
      <alignment horizontal="center" vertical="top" wrapText="1"/>
    </xf>
    <xf numFmtId="170" fontId="13" fillId="6" borderId="5" xfId="0" applyNumberFormat="1" applyFont="1" applyFill="1" applyBorder="1" applyAlignment="1">
      <alignment horizontal="center" vertical="center" wrapText="1"/>
    </xf>
    <xf numFmtId="0" fontId="7" fillId="6" borderId="6" xfId="0" applyFont="1" applyFill="1" applyBorder="1" applyAlignment="1">
      <alignment horizontal="left" vertical="center"/>
    </xf>
    <xf numFmtId="0" fontId="6" fillId="6" borderId="6" xfId="0" applyFont="1" applyFill="1" applyBorder="1" applyAlignment="1">
      <alignment horizontal="left" vertical="center" wrapText="1"/>
    </xf>
    <xf numFmtId="170" fontId="13" fillId="6" borderId="7" xfId="0" applyNumberFormat="1" applyFont="1" applyFill="1" applyBorder="1" applyAlignment="1">
      <alignment horizontal="center" vertical="center" wrapText="1"/>
    </xf>
    <xf numFmtId="0" fontId="12" fillId="2" borderId="8" xfId="0" applyFont="1" applyFill="1" applyBorder="1" applyAlignment="1">
      <alignment horizontal="left" vertical="center"/>
    </xf>
    <xf numFmtId="0" fontId="12" fillId="2" borderId="9" xfId="0" applyFont="1" applyFill="1" applyBorder="1" applyAlignment="1">
      <alignment horizontal="left" vertical="center"/>
    </xf>
    <xf numFmtId="0" fontId="16" fillId="7" borderId="10" xfId="0" applyFont="1" applyFill="1" applyBorder="1" applyAlignment="1">
      <alignment horizontal="center" vertical="center"/>
    </xf>
    <xf numFmtId="0" fontId="16" fillId="7" borderId="11" xfId="0" applyFont="1" applyFill="1" applyBorder="1" applyAlignment="1">
      <alignment horizontal="center" vertical="center"/>
    </xf>
    <xf numFmtId="0" fontId="17" fillId="6" borderId="12" xfId="0" applyFont="1" applyFill="1" applyBorder="1" applyAlignment="1">
      <alignment horizontal="left" vertical="center"/>
    </xf>
    <xf numFmtId="170" fontId="17" fillId="6" borderId="13" xfId="0" applyNumberFormat="1" applyFont="1" applyFill="1" applyBorder="1" applyAlignment="1">
      <alignment horizontal="center" vertical="center"/>
    </xf>
    <xf numFmtId="0" fontId="8" fillId="2" borderId="14" xfId="0" applyFont="1" applyFill="1" applyBorder="1" applyAlignment="1">
      <alignment vertical="top"/>
    </xf>
    <xf numFmtId="0" fontId="8" fillId="2" borderId="15" xfId="0" applyFont="1" applyFill="1" applyBorder="1" applyAlignment="1">
      <alignment vertical="top"/>
    </xf>
    <xf numFmtId="0" fontId="7" fillId="6" borderId="16" xfId="0" applyFont="1" applyFill="1" applyBorder="1" applyAlignment="1">
      <alignment horizontal="left" vertical="center"/>
    </xf>
    <xf numFmtId="0" fontId="7" fillId="6" borderId="17" xfId="0" applyFont="1" applyFill="1" applyBorder="1" applyAlignment="1">
      <alignment horizontal="left" vertical="center"/>
    </xf>
    <xf numFmtId="170" fontId="14" fillId="2" borderId="18" xfId="0" applyNumberFormat="1" applyFont="1" applyFill="1" applyBorder="1" applyAlignment="1">
      <alignment horizontal="center" vertical="top" wrapText="1"/>
    </xf>
    <xf numFmtId="0" fontId="11" fillId="4" borderId="19" xfId="0" applyFont="1" applyFill="1" applyBorder="1" applyAlignment="1">
      <alignment horizontal="center" vertical="center" wrapText="1"/>
    </xf>
    <xf numFmtId="0" fontId="6" fillId="4" borderId="19" xfId="0" applyFont="1" applyFill="1" applyBorder="1" applyAlignment="1">
      <alignment horizontal="center" vertical="center" wrapText="1"/>
    </xf>
    <xf numFmtId="0" fontId="6" fillId="4" borderId="20" xfId="0" applyFont="1" applyFill="1" applyBorder="1" applyAlignment="1">
      <alignment horizontal="center" vertical="center" wrapText="1"/>
    </xf>
    <xf numFmtId="0" fontId="7" fillId="0" borderId="1" xfId="0" applyFont="1" applyFill="1" applyBorder="1" applyAlignment="1" applyProtection="1">
      <alignment horizontal="center" vertical="top" wrapText="1"/>
      <protection locked="0"/>
    </xf>
    <xf numFmtId="0" fontId="7" fillId="0" borderId="2" xfId="0" applyFont="1" applyFill="1" applyBorder="1" applyAlignment="1" applyProtection="1">
      <alignment horizontal="center" vertical="top" wrapText="1"/>
      <protection locked="0"/>
    </xf>
    <xf numFmtId="0" fontId="2" fillId="5" borderId="10" xfId="0" applyFont="1" applyFill="1" applyBorder="1" applyAlignment="1">
      <alignment vertical="top" wrapText="1"/>
    </xf>
    <xf numFmtId="0" fontId="2" fillId="5" borderId="11" xfId="0" applyFont="1" applyFill="1" applyBorder="1" applyAlignment="1">
      <alignment vertical="top" wrapText="1"/>
    </xf>
    <xf numFmtId="0" fontId="2" fillId="5" borderId="8" xfId="0" applyFont="1" applyFill="1" applyBorder="1" applyAlignment="1">
      <alignment vertical="top" wrapText="1"/>
    </xf>
    <xf numFmtId="0" fontId="2" fillId="5" borderId="1" xfId="0" applyFont="1" applyFill="1" applyBorder="1" applyAlignment="1">
      <alignment vertical="top" wrapText="1"/>
    </xf>
    <xf numFmtId="0" fontId="3" fillId="5" borderId="1" xfId="0" applyFont="1" applyFill="1" applyBorder="1" applyAlignment="1">
      <alignment horizontal="left" vertical="top" wrapText="1"/>
    </xf>
    <xf numFmtId="0" fontId="3" fillId="5" borderId="23" xfId="0" applyFont="1" applyFill="1" applyBorder="1" applyAlignment="1">
      <alignment horizontal="left" vertical="top" wrapText="1"/>
    </xf>
    <xf numFmtId="0" fontId="4" fillId="7" borderId="25" xfId="0" applyFont="1" applyFill="1" applyBorder="1" applyAlignment="1">
      <alignment horizontal="center" vertical="center"/>
    </xf>
    <xf numFmtId="0" fontId="4" fillId="7" borderId="26" xfId="0" applyFont="1" applyFill="1" applyBorder="1" applyAlignment="1">
      <alignment horizontal="center" vertical="center"/>
    </xf>
    <xf numFmtId="0" fontId="4" fillId="7" borderId="27" xfId="0" applyFont="1" applyFill="1" applyBorder="1" applyAlignment="1">
      <alignment horizontal="center" vertical="center"/>
    </xf>
    <xf numFmtId="0" fontId="3" fillId="5" borderId="11" xfId="0" applyFont="1" applyFill="1" applyBorder="1" applyAlignment="1">
      <alignment horizontal="left" vertical="top" wrapText="1"/>
    </xf>
    <xf numFmtId="0" fontId="3" fillId="5" borderId="28" xfId="0" applyFont="1" applyFill="1" applyBorder="1" applyAlignment="1">
      <alignment horizontal="left" vertical="top" wrapText="1"/>
    </xf>
    <xf numFmtId="0" fontId="2" fillId="5" borderId="21" xfId="0" applyFont="1" applyFill="1" applyBorder="1" applyAlignment="1">
      <alignment vertical="top" wrapText="1"/>
    </xf>
    <xf numFmtId="0" fontId="2" fillId="5" borderId="22" xfId="0" applyFont="1" applyFill="1" applyBorder="1" applyAlignment="1">
      <alignment vertical="top" wrapText="1"/>
    </xf>
    <xf numFmtId="0" fontId="3" fillId="5" borderId="22" xfId="0" applyFont="1" applyFill="1" applyBorder="1" applyAlignment="1">
      <alignment horizontal="left" vertical="top" wrapText="1"/>
    </xf>
    <xf numFmtId="0" fontId="3" fillId="5" borderId="24" xfId="0" applyFont="1" applyFill="1" applyBorder="1" applyAlignment="1">
      <alignment horizontal="left" vertical="top" wrapText="1"/>
    </xf>
    <xf numFmtId="0" fontId="12" fillId="7" borderId="29" xfId="0" applyFont="1" applyFill="1" applyBorder="1" applyAlignment="1">
      <alignment horizontal="left" vertical="center"/>
    </xf>
    <xf numFmtId="0" fontId="12" fillId="7" borderId="19" xfId="0" applyFont="1" applyFill="1" applyBorder="1" applyAlignment="1">
      <alignment horizontal="left" vertical="center"/>
    </xf>
    <xf numFmtId="0" fontId="12" fillId="7" borderId="20" xfId="0" applyFont="1" applyFill="1" applyBorder="1" applyAlignment="1">
      <alignment horizontal="left" vertical="center"/>
    </xf>
    <xf numFmtId="0" fontId="18" fillId="4" borderId="29" xfId="0" applyFont="1" applyFill="1" applyBorder="1" applyAlignment="1">
      <alignment horizontal="center" vertical="center" wrapText="1"/>
    </xf>
    <xf numFmtId="0" fontId="18" fillId="4" borderId="19" xfId="0" applyFont="1" applyFill="1" applyBorder="1" applyAlignment="1">
      <alignment horizontal="center" vertical="center" wrapText="1"/>
    </xf>
    <xf numFmtId="0" fontId="6" fillId="3" borderId="30" xfId="0" applyFont="1" applyFill="1" applyBorder="1" applyAlignment="1">
      <alignment horizontal="right" vertical="center" wrapText="1"/>
    </xf>
    <xf numFmtId="170" fontId="5" fillId="4" borderId="0" xfId="0" applyNumberFormat="1" applyFont="1" applyFill="1" applyAlignment="1">
      <alignment horizontal="center"/>
    </xf>
    <xf numFmtId="0" fontId="15" fillId="5" borderId="1" xfId="0" applyFont="1" applyFill="1" applyBorder="1" applyAlignment="1">
      <alignment horizontal="left" vertical="center" wrapText="1"/>
    </xf>
    <xf numFmtId="0" fontId="15" fillId="5" borderId="23" xfId="0" applyFont="1" applyFill="1" applyBorder="1" applyAlignment="1">
      <alignment horizontal="left" vertical="center" wrapText="1"/>
    </xf>
    <xf numFmtId="0" fontId="15" fillId="5" borderId="2" xfId="0" applyFont="1" applyFill="1" applyBorder="1" applyAlignment="1">
      <alignment horizontal="left" vertical="center" wrapText="1"/>
    </xf>
    <xf numFmtId="0" fontId="15" fillId="5" borderId="31" xfId="0" applyFont="1" applyFill="1" applyBorder="1" applyAlignment="1">
      <alignment horizontal="left" vertical="center" wrapText="1"/>
    </xf>
    <xf numFmtId="0" fontId="17" fillId="6" borderId="16" xfId="0" applyFont="1" applyFill="1" applyBorder="1" applyAlignment="1">
      <alignment horizontal="left" vertical="center" wrapText="1"/>
    </xf>
    <xf numFmtId="0" fontId="17" fillId="6" borderId="3" xfId="0" applyFont="1" applyFill="1" applyBorder="1" applyAlignment="1">
      <alignment horizontal="left" vertical="center" wrapText="1"/>
    </xf>
    <xf numFmtId="0" fontId="17" fillId="6" borderId="32" xfId="0" applyFont="1" applyFill="1" applyBorder="1" applyAlignment="1">
      <alignment horizontal="left" vertical="center" wrapText="1"/>
    </xf>
    <xf numFmtId="0" fontId="16" fillId="7" borderId="11" xfId="0" applyFont="1" applyFill="1" applyBorder="1" applyAlignment="1">
      <alignment horizontal="center" vertical="center"/>
    </xf>
    <xf numFmtId="0" fontId="16" fillId="7" borderId="28"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34391702388779133"/>
          <c:y val="0.16716067615831942"/>
          <c:w val="0.43073102991771922"/>
          <c:h val="0.75662200787449851"/>
        </c:manualLayout>
      </c:layout>
      <c:radarChart>
        <c:radarStyle val="marker"/>
        <c:varyColors val="0"/>
        <c:ser>
          <c:idx val="0"/>
          <c:order val="0"/>
          <c:spPr>
            <a:ln w="25400">
              <a:solidFill>
                <a:srgbClr val="800000"/>
              </a:solidFill>
              <a:prstDash val="solid"/>
            </a:ln>
          </c:spPr>
          <c:marker>
            <c:symbol val="diamond"/>
            <c:size val="15"/>
            <c:spPr>
              <a:solidFill>
                <a:srgbClr val="3366FF"/>
              </a:solidFill>
              <a:ln>
                <a:solidFill>
                  <a:srgbClr val="333399"/>
                </a:solidFill>
                <a:prstDash val="solid"/>
              </a:ln>
            </c:spPr>
          </c:marker>
          <c:cat>
            <c:strRef>
              <c:f>Visuals!$J$4:$J$6</c:f>
              <c:strCache>
                <c:ptCount val="3"/>
                <c:pt idx="0">
                  <c:v>INFORMATION CAPITAL</c:v>
                </c:pt>
                <c:pt idx="1">
                  <c:v>HUMAN CAPITAL</c:v>
                </c:pt>
                <c:pt idx="2">
                  <c:v>ORGANIZATIONAL CAPITAL</c:v>
                </c:pt>
              </c:strCache>
            </c:strRef>
          </c:cat>
          <c:val>
            <c:numRef>
              <c:f>Visuals!$K$4:$K$6</c:f>
              <c:numCache>
                <c:formatCode>0.0</c:formatCode>
                <c:ptCount val="3"/>
                <c:pt idx="0">
                  <c:v>1</c:v>
                </c:pt>
                <c:pt idx="1">
                  <c:v>1</c:v>
                </c:pt>
                <c:pt idx="2">
                  <c:v>1</c:v>
                </c:pt>
              </c:numCache>
            </c:numRef>
          </c:val>
          <c:extLst>
            <c:ext xmlns:c16="http://schemas.microsoft.com/office/drawing/2014/chart" uri="{C3380CC4-5D6E-409C-BE32-E72D297353CC}">
              <c16:uniqueId val="{00000000-F06D-B64D-9AE5-96ADEB8569F5}"/>
            </c:ext>
          </c:extLst>
        </c:ser>
        <c:dLbls>
          <c:showLegendKey val="0"/>
          <c:showVal val="0"/>
          <c:showCatName val="0"/>
          <c:showSerName val="0"/>
          <c:showPercent val="0"/>
          <c:showBubbleSize val="0"/>
        </c:dLbls>
        <c:axId val="1361271807"/>
        <c:axId val="1"/>
      </c:radarChart>
      <c:catAx>
        <c:axId val="1361271807"/>
        <c:scaling>
          <c:orientation val="minMax"/>
        </c:scaling>
        <c:delete val="0"/>
        <c:axPos val="b"/>
        <c:majorGridlines/>
        <c:numFmt formatCode="General" sourceLinked="1"/>
        <c:majorTickMark val="out"/>
        <c:minorTickMark val="none"/>
        <c:tickLblPos val="nextTo"/>
        <c:txPr>
          <a:bodyPr rot="0" vert="horz"/>
          <a:lstStyle/>
          <a:p>
            <a:pPr>
              <a:defRPr sz="1450" b="1" i="1" u="none" strike="noStrike" baseline="0">
                <a:solidFill>
                  <a:srgbClr val="000000"/>
                </a:solidFill>
                <a:latin typeface="SapientSansRegular"/>
                <a:ea typeface="SapientSansRegular"/>
                <a:cs typeface="SapientSansRegular"/>
              </a:defRPr>
            </a:pPr>
            <a:endParaRPr lang="en-US"/>
          </a:p>
        </c:txPr>
        <c:crossAx val="1"/>
        <c:crosses val="autoZero"/>
        <c:auto val="0"/>
        <c:lblAlgn val="ctr"/>
        <c:lblOffset val="100"/>
        <c:noMultiLvlLbl val="0"/>
      </c:catAx>
      <c:valAx>
        <c:axId val="1"/>
        <c:scaling>
          <c:orientation val="minMax"/>
          <c:max val="5"/>
          <c:min val="0"/>
        </c:scaling>
        <c:delete val="0"/>
        <c:axPos val="l"/>
        <c:majorGridlines>
          <c:spPr>
            <a:ln w="3175">
              <a:solidFill>
                <a:srgbClr val="000000"/>
              </a:solidFill>
              <a:prstDash val="solid"/>
            </a:ln>
          </c:spPr>
        </c:majorGridlines>
        <c:minorGridlines>
          <c:spPr>
            <a:ln w="3175">
              <a:solidFill>
                <a:srgbClr val="000000"/>
              </a:solidFill>
              <a:prstDash val="solid"/>
            </a:ln>
          </c:spPr>
        </c:minorGridlines>
        <c:numFmt formatCode="0" sourceLinked="0"/>
        <c:majorTickMark val="cross"/>
        <c:minorTickMark val="none"/>
        <c:tickLblPos val="nextTo"/>
        <c:spPr>
          <a:ln w="3175">
            <a:solidFill>
              <a:srgbClr val="000000"/>
            </a:solidFill>
            <a:prstDash val="solid"/>
          </a:ln>
        </c:spPr>
        <c:txPr>
          <a:bodyPr rot="0" vert="horz"/>
          <a:lstStyle/>
          <a:p>
            <a:pPr>
              <a:defRPr sz="1200" b="1" i="0" u="none" strike="noStrike" baseline="0">
                <a:solidFill>
                  <a:srgbClr val="800000"/>
                </a:solidFill>
                <a:latin typeface="Arial"/>
                <a:ea typeface="Arial"/>
                <a:cs typeface="Arial"/>
              </a:defRPr>
            </a:pPr>
            <a:endParaRPr lang="en-US"/>
          </a:p>
        </c:txPr>
        <c:crossAx val="1361271807"/>
        <c:crosses val="autoZero"/>
        <c:crossBetween val="between"/>
        <c:majorUnit val="1"/>
        <c:minorUnit val="1"/>
      </c:valAx>
      <c:spPr>
        <a:noFill/>
        <a:ln w="25400">
          <a:noFill/>
        </a:ln>
      </c:spPr>
    </c:plotArea>
    <c:plotVisOnly val="1"/>
    <c:dispBlanksAs val="gap"/>
    <c:showDLblsOverMax val="0"/>
  </c:chart>
  <c:spPr>
    <a:solidFill>
      <a:srgbClr val="C0C0C0"/>
    </a:solidFill>
    <a:ln w="25400">
      <a:solidFill>
        <a:srgbClr val="000000"/>
      </a:solidFill>
      <a:prstDash val="solid"/>
    </a:ln>
  </c:spPr>
  <c:txPr>
    <a:bodyPr/>
    <a:lstStyle/>
    <a:p>
      <a:pPr>
        <a:defRPr sz="1775"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orientation="landscape" verticalDpi="0"/>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2.3702779038619472E-2"/>
          <c:y val="8.5003015625172859E-2"/>
          <c:w val="0.66593522060883281"/>
          <c:h val="0.80502855974428411"/>
        </c:manualLayout>
      </c:layout>
      <c:barChart>
        <c:barDir val="col"/>
        <c:grouping val="clustered"/>
        <c:varyColors val="0"/>
        <c:ser>
          <c:idx val="0"/>
          <c:order val="0"/>
          <c:tx>
            <c:strRef>
              <c:f>'Assessment Ratings'!$B$3</c:f>
              <c:strCache>
                <c:ptCount val="1"/>
                <c:pt idx="0">
                  <c:v>Leadership</c:v>
                </c:pt>
              </c:strCache>
            </c:strRef>
          </c:tx>
          <c:spPr>
            <a:solidFill>
              <a:srgbClr val="9999FF"/>
            </a:solidFill>
            <a:ln w="12700">
              <a:solidFill>
                <a:srgbClr val="000000"/>
              </a:solidFill>
              <a:prstDash val="solid"/>
            </a:ln>
          </c:spPr>
          <c:invertIfNegative val="0"/>
          <c:cat>
            <c:numRef>
              <c:f>Visuals!$K$15</c:f>
              <c:numCache>
                <c:formatCode>General</c:formatCode>
                <c:ptCount val="1"/>
              </c:numCache>
            </c:numRef>
          </c:cat>
          <c:val>
            <c:numRef>
              <c:f>'Assessment Ratings'!$F$3</c:f>
              <c:numCache>
                <c:formatCode>0.0</c:formatCode>
                <c:ptCount val="1"/>
                <c:pt idx="0">
                  <c:v>1</c:v>
                </c:pt>
              </c:numCache>
            </c:numRef>
          </c:val>
          <c:extLst>
            <c:ext xmlns:c16="http://schemas.microsoft.com/office/drawing/2014/chart" uri="{C3380CC4-5D6E-409C-BE32-E72D297353CC}">
              <c16:uniqueId val="{00000000-76F6-EB4B-A960-BF69B38299A2}"/>
            </c:ext>
          </c:extLst>
        </c:ser>
        <c:ser>
          <c:idx val="1"/>
          <c:order val="1"/>
          <c:tx>
            <c:strRef>
              <c:f>'Assessment Ratings'!$B$7</c:f>
              <c:strCache>
                <c:ptCount val="1"/>
                <c:pt idx="0">
                  <c:v>Strategic Planning</c:v>
                </c:pt>
              </c:strCache>
            </c:strRef>
          </c:tx>
          <c:spPr>
            <a:solidFill>
              <a:srgbClr val="993366"/>
            </a:solidFill>
            <a:ln w="12700">
              <a:solidFill>
                <a:srgbClr val="000000"/>
              </a:solidFill>
              <a:prstDash val="solid"/>
            </a:ln>
          </c:spPr>
          <c:invertIfNegative val="0"/>
          <c:cat>
            <c:numRef>
              <c:f>Visuals!$K$15</c:f>
              <c:numCache>
                <c:formatCode>General</c:formatCode>
                <c:ptCount val="1"/>
              </c:numCache>
            </c:numRef>
          </c:cat>
          <c:val>
            <c:numRef>
              <c:f>'Assessment Ratings'!$F$7</c:f>
              <c:numCache>
                <c:formatCode>0.0</c:formatCode>
                <c:ptCount val="1"/>
                <c:pt idx="0">
                  <c:v>1</c:v>
                </c:pt>
              </c:numCache>
            </c:numRef>
          </c:val>
          <c:extLst>
            <c:ext xmlns:c16="http://schemas.microsoft.com/office/drawing/2014/chart" uri="{C3380CC4-5D6E-409C-BE32-E72D297353CC}">
              <c16:uniqueId val="{00000001-76F6-EB4B-A960-BF69B38299A2}"/>
            </c:ext>
          </c:extLst>
        </c:ser>
        <c:ser>
          <c:idx val="2"/>
          <c:order val="2"/>
          <c:tx>
            <c:strRef>
              <c:f>'Assessment Ratings'!$B$11</c:f>
              <c:strCache>
                <c:ptCount val="1"/>
                <c:pt idx="0">
                  <c:v>Citizen and Market Focus</c:v>
                </c:pt>
              </c:strCache>
            </c:strRef>
          </c:tx>
          <c:spPr>
            <a:solidFill>
              <a:srgbClr val="FFFFCC"/>
            </a:solidFill>
            <a:ln w="12700">
              <a:solidFill>
                <a:srgbClr val="000000"/>
              </a:solidFill>
              <a:prstDash val="solid"/>
            </a:ln>
          </c:spPr>
          <c:invertIfNegative val="0"/>
          <c:cat>
            <c:numRef>
              <c:f>Visuals!$K$15</c:f>
              <c:numCache>
                <c:formatCode>General</c:formatCode>
                <c:ptCount val="1"/>
              </c:numCache>
            </c:numRef>
          </c:cat>
          <c:val>
            <c:numRef>
              <c:f>'Assessment Ratings'!$F$11</c:f>
              <c:numCache>
                <c:formatCode>0.0</c:formatCode>
                <c:ptCount val="1"/>
                <c:pt idx="0">
                  <c:v>1</c:v>
                </c:pt>
              </c:numCache>
            </c:numRef>
          </c:val>
          <c:extLst>
            <c:ext xmlns:c16="http://schemas.microsoft.com/office/drawing/2014/chart" uri="{C3380CC4-5D6E-409C-BE32-E72D297353CC}">
              <c16:uniqueId val="{00000002-76F6-EB4B-A960-BF69B38299A2}"/>
            </c:ext>
          </c:extLst>
        </c:ser>
        <c:ser>
          <c:idx val="3"/>
          <c:order val="3"/>
          <c:tx>
            <c:strRef>
              <c:f>'Assessment Ratings'!$B$15</c:f>
              <c:strCache>
                <c:ptCount val="1"/>
                <c:pt idx="0">
                  <c:v>Measurement, Analysis, and Knowledge Management</c:v>
                </c:pt>
              </c:strCache>
            </c:strRef>
          </c:tx>
          <c:spPr>
            <a:solidFill>
              <a:srgbClr val="CCFFFF"/>
            </a:solidFill>
            <a:ln w="12700">
              <a:solidFill>
                <a:srgbClr val="000000"/>
              </a:solidFill>
              <a:prstDash val="solid"/>
            </a:ln>
          </c:spPr>
          <c:invertIfNegative val="0"/>
          <c:cat>
            <c:numRef>
              <c:f>Visuals!$K$15</c:f>
              <c:numCache>
                <c:formatCode>General</c:formatCode>
                <c:ptCount val="1"/>
              </c:numCache>
            </c:numRef>
          </c:cat>
          <c:val>
            <c:numRef>
              <c:f>'Assessment Ratings'!$F$15</c:f>
              <c:numCache>
                <c:formatCode>0.0</c:formatCode>
                <c:ptCount val="1"/>
                <c:pt idx="0">
                  <c:v>1</c:v>
                </c:pt>
              </c:numCache>
            </c:numRef>
          </c:val>
          <c:extLst>
            <c:ext xmlns:c16="http://schemas.microsoft.com/office/drawing/2014/chart" uri="{C3380CC4-5D6E-409C-BE32-E72D297353CC}">
              <c16:uniqueId val="{00000003-76F6-EB4B-A960-BF69B38299A2}"/>
            </c:ext>
          </c:extLst>
        </c:ser>
        <c:ser>
          <c:idx val="4"/>
          <c:order val="4"/>
          <c:tx>
            <c:strRef>
              <c:f>'Assessment Ratings'!$B$19</c:f>
              <c:strCache>
                <c:ptCount val="1"/>
                <c:pt idx="0">
                  <c:v>Business Results</c:v>
                </c:pt>
              </c:strCache>
            </c:strRef>
          </c:tx>
          <c:spPr>
            <a:solidFill>
              <a:srgbClr val="660066"/>
            </a:solidFill>
            <a:ln w="12700">
              <a:solidFill>
                <a:srgbClr val="000000"/>
              </a:solidFill>
              <a:prstDash val="solid"/>
            </a:ln>
          </c:spPr>
          <c:invertIfNegative val="0"/>
          <c:cat>
            <c:numRef>
              <c:f>Visuals!$K$15</c:f>
              <c:numCache>
                <c:formatCode>General</c:formatCode>
                <c:ptCount val="1"/>
              </c:numCache>
            </c:numRef>
          </c:cat>
          <c:val>
            <c:numRef>
              <c:f>'Assessment Ratings'!$F$19</c:f>
              <c:numCache>
                <c:formatCode>0.0</c:formatCode>
                <c:ptCount val="1"/>
                <c:pt idx="0">
                  <c:v>1</c:v>
                </c:pt>
              </c:numCache>
            </c:numRef>
          </c:val>
          <c:extLst>
            <c:ext xmlns:c16="http://schemas.microsoft.com/office/drawing/2014/chart" uri="{C3380CC4-5D6E-409C-BE32-E72D297353CC}">
              <c16:uniqueId val="{00000004-76F6-EB4B-A960-BF69B38299A2}"/>
            </c:ext>
          </c:extLst>
        </c:ser>
        <c:dLbls>
          <c:showLegendKey val="0"/>
          <c:showVal val="0"/>
          <c:showCatName val="0"/>
          <c:showSerName val="0"/>
          <c:showPercent val="0"/>
          <c:showBubbleSize val="0"/>
        </c:dLbls>
        <c:gapWidth val="150"/>
        <c:axId val="1322356671"/>
        <c:axId val="1"/>
      </c:barChart>
      <c:dateAx>
        <c:axId val="1322356671"/>
        <c:scaling>
          <c:orientation val="minMax"/>
        </c:scaling>
        <c:delete val="1"/>
        <c:axPos val="b"/>
        <c:numFmt formatCode="General" sourceLinked="1"/>
        <c:majorTickMark val="out"/>
        <c:minorTickMark val="none"/>
        <c:tickLblPos val="nextTo"/>
        <c:crossAx val="1"/>
        <c:crossesAt val="0"/>
        <c:auto val="0"/>
        <c:lblOffset val="100"/>
        <c:baseTimeUnit val="days"/>
      </c:dateAx>
      <c:valAx>
        <c:axId val="1"/>
        <c:scaling>
          <c:orientation val="minMax"/>
          <c:max val="5"/>
          <c:min val="0"/>
        </c:scaling>
        <c:delete val="0"/>
        <c:axPos val="l"/>
        <c:majorGridlines>
          <c:spPr>
            <a:ln w="3175">
              <a:solidFill>
                <a:srgbClr val="000000"/>
              </a:solidFill>
              <a:prstDash val="solid"/>
            </a:ln>
          </c:spPr>
        </c:majorGridlines>
        <c:numFmt formatCode="0.0"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1322356671"/>
        <c:crosses val="autoZero"/>
        <c:crossBetween val="between"/>
        <c:minorUnit val="1"/>
      </c:valAx>
      <c:spPr>
        <a:solidFill>
          <a:srgbClr val="C0C0C0"/>
        </a:solidFill>
        <a:ln w="12700">
          <a:solidFill>
            <a:srgbClr val="808080"/>
          </a:solidFill>
          <a:prstDash val="solid"/>
        </a:ln>
      </c:spPr>
    </c:plotArea>
    <c:legend>
      <c:legendPos val="r"/>
      <c:overlay val="0"/>
      <c:spPr>
        <a:solidFill>
          <a:srgbClr val="FFFFFF"/>
        </a:solidFill>
        <a:ln w="25400">
          <a:noFill/>
        </a:ln>
      </c:spPr>
      <c:txPr>
        <a:bodyPr/>
        <a:lstStyle/>
        <a:p>
          <a:pPr>
            <a:defRPr sz="128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25400">
      <a:solidFill>
        <a:srgbClr val="000000"/>
      </a:solidFill>
      <a:prstDash val="solid"/>
    </a:ln>
  </c:spPr>
  <c:txPr>
    <a:bodyPr/>
    <a:lstStyle/>
    <a:p>
      <a:pPr>
        <a:defRPr sz="425"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2.9003235584959097E-2"/>
          <c:y val="7.1825808117059561E-2"/>
          <c:w val="0.62530975921171816"/>
          <c:h val="0.8729598217304162"/>
        </c:manualLayout>
      </c:layout>
      <c:barChart>
        <c:barDir val="col"/>
        <c:grouping val="clustered"/>
        <c:varyColors val="0"/>
        <c:ser>
          <c:idx val="0"/>
          <c:order val="0"/>
          <c:tx>
            <c:strRef>
              <c:f>'Assessment Ratings'!$B$25</c:f>
              <c:strCache>
                <c:ptCount val="1"/>
                <c:pt idx="0">
                  <c:v>Human Resource Focus</c:v>
                </c:pt>
              </c:strCache>
            </c:strRef>
          </c:tx>
          <c:spPr>
            <a:solidFill>
              <a:srgbClr val="9999FF"/>
            </a:solidFill>
            <a:ln w="12700">
              <a:solidFill>
                <a:srgbClr val="000000"/>
              </a:solidFill>
              <a:prstDash val="solid"/>
            </a:ln>
          </c:spPr>
          <c:invertIfNegative val="0"/>
          <c:val>
            <c:numRef>
              <c:f>'Assessment Ratings'!$F$25</c:f>
              <c:numCache>
                <c:formatCode>0.0</c:formatCode>
                <c:ptCount val="1"/>
                <c:pt idx="0">
                  <c:v>1</c:v>
                </c:pt>
              </c:numCache>
            </c:numRef>
          </c:val>
          <c:extLst>
            <c:ext xmlns:c16="http://schemas.microsoft.com/office/drawing/2014/chart" uri="{C3380CC4-5D6E-409C-BE32-E72D297353CC}">
              <c16:uniqueId val="{00000000-BA47-AF46-91A2-7E1C1EA25FF3}"/>
            </c:ext>
          </c:extLst>
        </c:ser>
        <c:ser>
          <c:idx val="1"/>
          <c:order val="1"/>
          <c:tx>
            <c:strRef>
              <c:f>'Assessment Ratings'!$B$29</c:f>
              <c:strCache>
                <c:ptCount val="1"/>
                <c:pt idx="0">
                  <c:v>Process Management</c:v>
                </c:pt>
              </c:strCache>
            </c:strRef>
          </c:tx>
          <c:spPr>
            <a:solidFill>
              <a:srgbClr val="993366"/>
            </a:solidFill>
            <a:ln w="12700">
              <a:solidFill>
                <a:srgbClr val="000000"/>
              </a:solidFill>
              <a:prstDash val="solid"/>
            </a:ln>
          </c:spPr>
          <c:invertIfNegative val="0"/>
          <c:val>
            <c:numRef>
              <c:f>'Assessment Ratings'!$F$29</c:f>
              <c:numCache>
                <c:formatCode>0.0</c:formatCode>
                <c:ptCount val="1"/>
                <c:pt idx="0">
                  <c:v>1</c:v>
                </c:pt>
              </c:numCache>
            </c:numRef>
          </c:val>
          <c:extLst>
            <c:ext xmlns:c16="http://schemas.microsoft.com/office/drawing/2014/chart" uri="{C3380CC4-5D6E-409C-BE32-E72D297353CC}">
              <c16:uniqueId val="{00000001-BA47-AF46-91A2-7E1C1EA25FF3}"/>
            </c:ext>
          </c:extLst>
        </c:ser>
        <c:dLbls>
          <c:showLegendKey val="0"/>
          <c:showVal val="0"/>
          <c:showCatName val="0"/>
          <c:showSerName val="0"/>
          <c:showPercent val="0"/>
          <c:showBubbleSize val="0"/>
        </c:dLbls>
        <c:gapWidth val="150"/>
        <c:axId val="1242249663"/>
        <c:axId val="1"/>
      </c:barChart>
      <c:catAx>
        <c:axId val="1242249663"/>
        <c:scaling>
          <c:orientation val="minMax"/>
        </c:scaling>
        <c:delete val="1"/>
        <c:axPos val="b"/>
        <c:majorTickMark val="out"/>
        <c:minorTickMark val="none"/>
        <c:tickLblPos val="nextTo"/>
        <c:crossAx val="1"/>
        <c:crossesAt val="0"/>
        <c:auto val="1"/>
        <c:lblAlgn val="ctr"/>
        <c:lblOffset val="100"/>
        <c:noMultiLvlLbl val="0"/>
      </c:catAx>
      <c:valAx>
        <c:axId val="1"/>
        <c:scaling>
          <c:orientation val="minMax"/>
          <c:max val="5"/>
          <c:min val="0"/>
        </c:scaling>
        <c:delete val="0"/>
        <c:axPos val="l"/>
        <c:majorGridlines>
          <c:spPr>
            <a:ln w="3175">
              <a:solidFill>
                <a:srgbClr val="000000"/>
              </a:solidFill>
              <a:prstDash val="solid"/>
            </a:ln>
          </c:spPr>
        </c:majorGridlines>
        <c:numFmt formatCode="0.0"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1242249663"/>
        <c:crosses val="autoZero"/>
        <c:crossBetween val="between"/>
        <c:majorUnit val="1"/>
        <c:minorUnit val="1"/>
      </c:valAx>
      <c:spPr>
        <a:solidFill>
          <a:srgbClr val="C0C0C0"/>
        </a:solidFill>
        <a:ln w="12700">
          <a:solidFill>
            <a:srgbClr val="808080"/>
          </a:solidFill>
          <a:prstDash val="solid"/>
        </a:ln>
      </c:spPr>
    </c:plotArea>
    <c:legend>
      <c:legendPos val="r"/>
      <c:layout>
        <c:manualLayout>
          <c:xMode val="edge"/>
          <c:yMode val="edge"/>
          <c:x val="0.72972140731757085"/>
          <c:y val="6.0775683791358087E-2"/>
          <c:w val="0.18098019005014476"/>
          <c:h val="0.91716031903322204"/>
        </c:manualLayout>
      </c:layout>
      <c:overlay val="0"/>
      <c:spPr>
        <a:solidFill>
          <a:srgbClr val="FFFFFF"/>
        </a:solidFill>
        <a:ln w="25400">
          <a:noFill/>
        </a:ln>
      </c:spPr>
      <c:txPr>
        <a:bodyPr/>
        <a:lstStyle/>
        <a:p>
          <a:pPr>
            <a:defRPr sz="128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25400">
      <a:solidFill>
        <a:srgbClr val="000000"/>
      </a:solidFill>
      <a:prstDash val="solid"/>
    </a:ln>
  </c:spPr>
  <c:txPr>
    <a:bodyPr/>
    <a:lstStyle/>
    <a:p>
      <a:pPr>
        <a:defRPr sz="375"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3.8500692963185777E-2"/>
          <c:y val="7.4238409810532507E-2"/>
          <c:w val="0.47484187987929127"/>
          <c:h val="0.85592519546261003"/>
        </c:manualLayout>
      </c:layout>
      <c:barChart>
        <c:barDir val="col"/>
        <c:grouping val="clustered"/>
        <c:varyColors val="0"/>
        <c:ser>
          <c:idx val="0"/>
          <c:order val="0"/>
          <c:tx>
            <c:strRef>
              <c:f>'Assessment Ratings'!$B$35</c:f>
              <c:strCache>
                <c:ptCount val="1"/>
                <c:pt idx="0">
                  <c:v>Systems Focus</c:v>
                </c:pt>
              </c:strCache>
            </c:strRef>
          </c:tx>
          <c:spPr>
            <a:solidFill>
              <a:srgbClr val="9999FF"/>
            </a:solidFill>
            <a:ln w="12700">
              <a:solidFill>
                <a:srgbClr val="000000"/>
              </a:solidFill>
              <a:prstDash val="solid"/>
            </a:ln>
          </c:spPr>
          <c:invertIfNegative val="0"/>
          <c:val>
            <c:numRef>
              <c:f>'Assessment Ratings'!$F$35</c:f>
              <c:numCache>
                <c:formatCode>0.0</c:formatCode>
                <c:ptCount val="1"/>
                <c:pt idx="0">
                  <c:v>1</c:v>
                </c:pt>
              </c:numCache>
            </c:numRef>
          </c:val>
          <c:extLst>
            <c:ext xmlns:c16="http://schemas.microsoft.com/office/drawing/2014/chart" uri="{C3380CC4-5D6E-409C-BE32-E72D297353CC}">
              <c16:uniqueId val="{00000000-369E-344C-9E01-B0992F1E70E0}"/>
            </c:ext>
          </c:extLst>
        </c:ser>
        <c:ser>
          <c:idx val="1"/>
          <c:order val="1"/>
          <c:tx>
            <c:strRef>
              <c:f>'Assessment Ratings'!$B$39</c:f>
              <c:strCache>
                <c:ptCount val="1"/>
                <c:pt idx="0">
                  <c:v>Data Focus</c:v>
                </c:pt>
              </c:strCache>
            </c:strRef>
          </c:tx>
          <c:spPr>
            <a:solidFill>
              <a:srgbClr val="993366"/>
            </a:solidFill>
            <a:ln w="12700">
              <a:solidFill>
                <a:srgbClr val="000000"/>
              </a:solidFill>
              <a:prstDash val="solid"/>
            </a:ln>
          </c:spPr>
          <c:invertIfNegative val="0"/>
          <c:val>
            <c:numRef>
              <c:f>'Assessment Ratings'!$F$39</c:f>
              <c:numCache>
                <c:formatCode>0.0</c:formatCode>
                <c:ptCount val="1"/>
                <c:pt idx="0">
                  <c:v>1</c:v>
                </c:pt>
              </c:numCache>
            </c:numRef>
          </c:val>
          <c:extLst>
            <c:ext xmlns:c16="http://schemas.microsoft.com/office/drawing/2014/chart" uri="{C3380CC4-5D6E-409C-BE32-E72D297353CC}">
              <c16:uniqueId val="{00000001-369E-344C-9E01-B0992F1E70E0}"/>
            </c:ext>
          </c:extLst>
        </c:ser>
        <c:dLbls>
          <c:showLegendKey val="0"/>
          <c:showVal val="0"/>
          <c:showCatName val="0"/>
          <c:showSerName val="0"/>
          <c:showPercent val="0"/>
          <c:showBubbleSize val="0"/>
        </c:dLbls>
        <c:gapWidth val="150"/>
        <c:axId val="1244583615"/>
        <c:axId val="1"/>
      </c:barChart>
      <c:catAx>
        <c:axId val="1244583615"/>
        <c:scaling>
          <c:orientation val="minMax"/>
        </c:scaling>
        <c:delete val="1"/>
        <c:axPos val="b"/>
        <c:majorTickMark val="out"/>
        <c:minorTickMark val="none"/>
        <c:tickLblPos val="nextTo"/>
        <c:crossAx val="1"/>
        <c:crossesAt val="0"/>
        <c:auto val="1"/>
        <c:lblAlgn val="ctr"/>
        <c:lblOffset val="100"/>
        <c:noMultiLvlLbl val="0"/>
      </c:catAx>
      <c:valAx>
        <c:axId val="1"/>
        <c:scaling>
          <c:orientation val="minMax"/>
          <c:max val="5"/>
          <c:min val="0"/>
        </c:scaling>
        <c:delete val="0"/>
        <c:axPos val="l"/>
        <c:majorGridlines>
          <c:spPr>
            <a:ln w="3175">
              <a:solidFill>
                <a:srgbClr val="000000"/>
              </a:solidFill>
              <a:prstDash val="solid"/>
            </a:ln>
          </c:spPr>
        </c:majorGridlines>
        <c:numFmt formatCode="0.0" sourceLinked="1"/>
        <c:majorTickMark val="out"/>
        <c:minorTickMark val="none"/>
        <c:tickLblPos val="nextTo"/>
        <c:spPr>
          <a:ln w="3175">
            <a:solidFill>
              <a:srgbClr val="000000"/>
            </a:solidFill>
            <a:prstDash val="solid"/>
          </a:ln>
        </c:spPr>
        <c:txPr>
          <a:bodyPr rot="0" vert="horz"/>
          <a:lstStyle/>
          <a:p>
            <a:pPr>
              <a:defRPr sz="1025" b="0" i="0" u="none" strike="noStrike" baseline="0">
                <a:solidFill>
                  <a:srgbClr val="000000"/>
                </a:solidFill>
                <a:latin typeface="Arial"/>
                <a:ea typeface="Arial"/>
                <a:cs typeface="Arial"/>
              </a:defRPr>
            </a:pPr>
            <a:endParaRPr lang="en-US"/>
          </a:p>
        </c:txPr>
        <c:crossAx val="1244583615"/>
        <c:crosses val="autoZero"/>
        <c:crossBetween val="between"/>
        <c:majorUnit val="1"/>
        <c:minorUnit val="1"/>
      </c:valAx>
      <c:spPr>
        <a:solidFill>
          <a:srgbClr val="C0C0C0"/>
        </a:solidFill>
        <a:ln w="12700">
          <a:solidFill>
            <a:srgbClr val="808080"/>
          </a:solidFill>
          <a:prstDash val="solid"/>
        </a:ln>
      </c:spPr>
    </c:plotArea>
    <c:legend>
      <c:legendPos val="r"/>
      <c:layout>
        <c:manualLayout>
          <c:xMode val="edge"/>
          <c:yMode val="edge"/>
          <c:x val="0.62094707368830393"/>
          <c:y val="1.746786113189E-2"/>
          <c:w val="0.2438377221001766"/>
          <c:h val="0.95199843168800502"/>
        </c:manualLayout>
      </c:layout>
      <c:overlay val="0"/>
      <c:spPr>
        <a:solidFill>
          <a:srgbClr val="FFFFFF"/>
        </a:solidFill>
        <a:ln w="25400">
          <a:noFill/>
        </a:ln>
      </c:spPr>
      <c:txPr>
        <a:bodyPr/>
        <a:lstStyle/>
        <a:p>
          <a:pPr>
            <a:defRPr sz="128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25400">
      <a:solidFill>
        <a:srgbClr val="000000"/>
      </a:solidFill>
      <a:prstDash val="solid"/>
    </a:ln>
  </c:spPr>
  <c:txPr>
    <a:bodyPr/>
    <a:lstStyle/>
    <a:p>
      <a:pPr>
        <a:defRPr sz="475"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tx>
            <c:strRef>
              <c:f>'Assessment Ratings'!$A$24</c:f>
              <c:strCache>
                <c:ptCount val="1"/>
                <c:pt idx="0">
                  <c:v>HUMAN CAPITAL</c:v>
                </c:pt>
              </c:strCache>
            </c:strRef>
          </c:tx>
          <c:spPr>
            <a:solidFill>
              <a:srgbClr val="9999FF"/>
            </a:solidFill>
            <a:ln w="12700">
              <a:solidFill>
                <a:srgbClr val="000000"/>
              </a:solidFill>
              <a:prstDash val="solid"/>
            </a:ln>
          </c:spPr>
          <c:invertIfNegative val="0"/>
          <c:val>
            <c:numRef>
              <c:f>'Assessment Ratings'!$F$24</c:f>
              <c:numCache>
                <c:formatCode>General</c:formatCode>
                <c:ptCount val="1"/>
                <c:pt idx="0">
                  <c:v>1</c:v>
                </c:pt>
              </c:numCache>
            </c:numRef>
          </c:val>
          <c:extLst>
            <c:ext xmlns:c16="http://schemas.microsoft.com/office/drawing/2014/chart" uri="{C3380CC4-5D6E-409C-BE32-E72D297353CC}">
              <c16:uniqueId val="{00000000-EA34-064A-B262-EC6789F7AE11}"/>
            </c:ext>
          </c:extLst>
        </c:ser>
        <c:ser>
          <c:idx val="1"/>
          <c:order val="1"/>
          <c:tx>
            <c:strRef>
              <c:f>'Assessment Ratings'!#REF!</c:f>
              <c:strCache>
                <c:ptCount val="1"/>
                <c:pt idx="0">
                  <c:v>#REF!</c:v>
                </c:pt>
              </c:strCache>
            </c:strRef>
          </c:tx>
          <c:spPr>
            <a:solidFill>
              <a:srgbClr val="993366"/>
            </a:solidFill>
            <a:ln w="12700">
              <a:solidFill>
                <a:srgbClr val="000000"/>
              </a:solidFill>
              <a:prstDash val="solid"/>
            </a:ln>
          </c:spPr>
          <c:invertIfNegative val="0"/>
          <c:val>
            <c:numRef>
              <c:f>'Assessment Ratings'!#REF!</c:f>
              <c:numCache>
                <c:formatCode>General</c:formatCode>
                <c:ptCount val="1"/>
                <c:pt idx="0">
                  <c:v>1</c:v>
                </c:pt>
              </c:numCache>
            </c:numRef>
          </c:val>
          <c:extLst>
            <c:ext xmlns:c16="http://schemas.microsoft.com/office/drawing/2014/chart" uri="{C3380CC4-5D6E-409C-BE32-E72D297353CC}">
              <c16:uniqueId val="{00000001-EA34-064A-B262-EC6789F7AE11}"/>
            </c:ext>
          </c:extLst>
        </c:ser>
        <c:ser>
          <c:idx val="2"/>
          <c:order val="2"/>
          <c:tx>
            <c:strRef>
              <c:f>'Assessment Ratings'!#REF!</c:f>
              <c:strCache>
                <c:ptCount val="1"/>
                <c:pt idx="0">
                  <c:v>#REF!</c:v>
                </c:pt>
              </c:strCache>
            </c:strRef>
          </c:tx>
          <c:spPr>
            <a:solidFill>
              <a:srgbClr val="FFFFCC"/>
            </a:solidFill>
            <a:ln w="12700">
              <a:solidFill>
                <a:srgbClr val="000000"/>
              </a:solidFill>
              <a:prstDash val="solid"/>
            </a:ln>
          </c:spPr>
          <c:invertIfNegative val="0"/>
          <c:val>
            <c:numRef>
              <c:f>'Assessment Ratings'!#REF!</c:f>
              <c:numCache>
                <c:formatCode>General</c:formatCode>
                <c:ptCount val="1"/>
                <c:pt idx="0">
                  <c:v>1</c:v>
                </c:pt>
              </c:numCache>
            </c:numRef>
          </c:val>
          <c:extLst>
            <c:ext xmlns:c16="http://schemas.microsoft.com/office/drawing/2014/chart" uri="{C3380CC4-5D6E-409C-BE32-E72D297353CC}">
              <c16:uniqueId val="{00000002-EA34-064A-B262-EC6789F7AE11}"/>
            </c:ext>
          </c:extLst>
        </c:ser>
        <c:ser>
          <c:idx val="3"/>
          <c:order val="3"/>
          <c:tx>
            <c:strRef>
              <c:f>'Assessment Ratings'!#REF!</c:f>
              <c:strCache>
                <c:ptCount val="1"/>
                <c:pt idx="0">
                  <c:v>#REF!</c:v>
                </c:pt>
              </c:strCache>
            </c:strRef>
          </c:tx>
          <c:spPr>
            <a:solidFill>
              <a:srgbClr val="CCFFFF"/>
            </a:solidFill>
            <a:ln w="12700">
              <a:solidFill>
                <a:srgbClr val="000000"/>
              </a:solidFill>
              <a:prstDash val="solid"/>
            </a:ln>
          </c:spPr>
          <c:invertIfNegative val="0"/>
          <c:val>
            <c:numRef>
              <c:f>'Assessment Ratings'!#REF!</c:f>
              <c:numCache>
                <c:formatCode>General</c:formatCode>
                <c:ptCount val="1"/>
                <c:pt idx="0">
                  <c:v>1</c:v>
                </c:pt>
              </c:numCache>
            </c:numRef>
          </c:val>
          <c:extLst>
            <c:ext xmlns:c16="http://schemas.microsoft.com/office/drawing/2014/chart" uri="{C3380CC4-5D6E-409C-BE32-E72D297353CC}">
              <c16:uniqueId val="{00000003-EA34-064A-B262-EC6789F7AE11}"/>
            </c:ext>
          </c:extLst>
        </c:ser>
        <c:ser>
          <c:idx val="4"/>
          <c:order val="4"/>
          <c:tx>
            <c:strRef>
              <c:f>'Assessment Ratings'!#REF!</c:f>
              <c:strCache>
                <c:ptCount val="1"/>
                <c:pt idx="0">
                  <c:v>#REF!</c:v>
                </c:pt>
              </c:strCache>
            </c:strRef>
          </c:tx>
          <c:spPr>
            <a:solidFill>
              <a:srgbClr val="660066"/>
            </a:solidFill>
            <a:ln w="12700">
              <a:solidFill>
                <a:srgbClr val="000000"/>
              </a:solidFill>
              <a:prstDash val="solid"/>
            </a:ln>
          </c:spPr>
          <c:invertIfNegative val="0"/>
          <c:val>
            <c:numRef>
              <c:f>'Assessment Ratings'!#REF!</c:f>
              <c:numCache>
                <c:formatCode>General</c:formatCode>
                <c:ptCount val="1"/>
                <c:pt idx="0">
                  <c:v>1</c:v>
                </c:pt>
              </c:numCache>
            </c:numRef>
          </c:val>
          <c:extLst>
            <c:ext xmlns:c16="http://schemas.microsoft.com/office/drawing/2014/chart" uri="{C3380CC4-5D6E-409C-BE32-E72D297353CC}">
              <c16:uniqueId val="{00000004-EA34-064A-B262-EC6789F7AE11}"/>
            </c:ext>
          </c:extLst>
        </c:ser>
        <c:ser>
          <c:idx val="5"/>
          <c:order val="5"/>
          <c:tx>
            <c:strRef>
              <c:f>'Assessment Ratings'!#REF!</c:f>
              <c:strCache>
                <c:ptCount val="1"/>
                <c:pt idx="0">
                  <c:v>#REF!</c:v>
                </c:pt>
              </c:strCache>
            </c:strRef>
          </c:tx>
          <c:spPr>
            <a:solidFill>
              <a:srgbClr val="FF8080"/>
            </a:solidFill>
            <a:ln w="12700">
              <a:solidFill>
                <a:srgbClr val="000000"/>
              </a:solidFill>
              <a:prstDash val="solid"/>
            </a:ln>
          </c:spPr>
          <c:invertIfNegative val="0"/>
          <c:val>
            <c:numRef>
              <c:f>'Assessment Ratings'!#REF!</c:f>
              <c:numCache>
                <c:formatCode>General</c:formatCode>
                <c:ptCount val="1"/>
                <c:pt idx="0">
                  <c:v>1</c:v>
                </c:pt>
              </c:numCache>
            </c:numRef>
          </c:val>
          <c:extLst>
            <c:ext xmlns:c16="http://schemas.microsoft.com/office/drawing/2014/chart" uri="{C3380CC4-5D6E-409C-BE32-E72D297353CC}">
              <c16:uniqueId val="{00000005-EA34-064A-B262-EC6789F7AE11}"/>
            </c:ext>
          </c:extLst>
        </c:ser>
        <c:dLbls>
          <c:showLegendKey val="0"/>
          <c:showVal val="0"/>
          <c:showCatName val="0"/>
          <c:showSerName val="0"/>
          <c:showPercent val="0"/>
          <c:showBubbleSize val="0"/>
        </c:dLbls>
        <c:gapWidth val="150"/>
        <c:axId val="1308419711"/>
        <c:axId val="1"/>
      </c:barChart>
      <c:catAx>
        <c:axId val="1308419711"/>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 b="0" i="0" u="none" strike="noStrike" baseline="0">
                <a:solidFill>
                  <a:srgbClr val="000000"/>
                </a:solidFill>
                <a:latin typeface="Arial"/>
                <a:ea typeface="Arial"/>
                <a:cs typeface="Arial"/>
              </a:defRPr>
            </a:pPr>
            <a:endParaRPr lang="en-US"/>
          </a:p>
        </c:txPr>
        <c:crossAx val="1"/>
        <c:crosses val="autoZero"/>
        <c:auto val="1"/>
        <c:lblAlgn val="ctr"/>
        <c:lblOffset val="100"/>
        <c:tickLblSkip val="1"/>
        <c:tickMarkSkip val="1"/>
        <c:noMultiLvlLbl val="0"/>
      </c:catAx>
      <c:valAx>
        <c:axId val="1"/>
        <c:scaling>
          <c:orientation val="minMax"/>
        </c:scaling>
        <c:delete val="0"/>
        <c:axPos val="l"/>
        <c:majorGridlines>
          <c:spPr>
            <a:ln w="3175">
              <a:solidFill>
                <a:srgbClr val="000000"/>
              </a:solidFill>
              <a:prstDash val="solid"/>
            </a:ln>
          </c:spPr>
        </c:majorGridlines>
        <c:numFmt formatCode="General" sourceLinked="1"/>
        <c:majorTickMark val="out"/>
        <c:minorTickMark val="none"/>
        <c:tickLblPos val="nextTo"/>
        <c:spPr>
          <a:ln w="3175">
            <a:solidFill>
              <a:srgbClr val="000000"/>
            </a:solidFill>
            <a:prstDash val="solid"/>
          </a:ln>
        </c:spPr>
        <c:txPr>
          <a:bodyPr rot="0" vert="horz"/>
          <a:lstStyle/>
          <a:p>
            <a:pPr>
              <a:defRPr sz="100" b="0" i="0" u="none" strike="noStrike" baseline="0">
                <a:solidFill>
                  <a:srgbClr val="000000"/>
                </a:solidFill>
                <a:latin typeface="Arial"/>
                <a:ea typeface="Arial"/>
                <a:cs typeface="Arial"/>
              </a:defRPr>
            </a:pPr>
            <a:endParaRPr lang="en-US"/>
          </a:p>
        </c:txPr>
        <c:crossAx val="1308419711"/>
        <c:crosses val="autoZero"/>
        <c:crossBetween val="between"/>
      </c:valAx>
      <c:spPr>
        <a:solidFill>
          <a:srgbClr val="C0C0C0"/>
        </a:solidFill>
        <a:ln w="12700">
          <a:solidFill>
            <a:srgbClr val="808080"/>
          </a:solidFill>
          <a:prstDash val="solid"/>
        </a:ln>
      </c:spPr>
    </c:plotArea>
    <c:legend>
      <c:legendPos val="r"/>
      <c:overlay val="0"/>
      <c:spPr>
        <a:solidFill>
          <a:srgbClr val="FFFFFF"/>
        </a:solidFill>
        <a:ln w="25400">
          <a:noFill/>
        </a:ln>
      </c:spPr>
      <c:txPr>
        <a:bodyPr/>
        <a:lstStyle/>
        <a:p>
          <a:pPr>
            <a:defRPr sz="1285" b="0" i="0" u="none" strike="noStrike" baseline="0">
              <a:solidFill>
                <a:srgbClr val="000000"/>
              </a:solidFill>
              <a:latin typeface="Arial"/>
              <a:ea typeface="Arial"/>
              <a:cs typeface="Arial"/>
            </a:defRPr>
          </a:pPr>
          <a:endParaRPr lang="en-US"/>
        </a:p>
      </c:txPr>
    </c:legend>
    <c:plotVisOnly val="1"/>
    <c:dispBlanksAs val="gap"/>
    <c:showDLblsOverMax val="0"/>
  </c:chart>
  <c:spPr>
    <a:noFill/>
    <a:ln w="12700">
      <a:noFill/>
    </a:ln>
  </c:spPr>
  <c:txPr>
    <a:bodyPr/>
    <a:lstStyle/>
    <a:p>
      <a:pPr>
        <a:defRPr sz="1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tx>
            <c:strRef>
              <c:f>'Assessment Ratings'!$B$3</c:f>
              <c:strCache>
                <c:ptCount val="1"/>
                <c:pt idx="0">
                  <c:v>Leadership</c:v>
                </c:pt>
              </c:strCache>
            </c:strRef>
          </c:tx>
          <c:spPr>
            <a:solidFill>
              <a:srgbClr val="9999FF"/>
            </a:solidFill>
            <a:ln w="12700">
              <a:solidFill>
                <a:srgbClr val="000000"/>
              </a:solidFill>
              <a:prstDash val="solid"/>
            </a:ln>
          </c:spPr>
          <c:invertIfNegative val="0"/>
          <c:val>
            <c:numRef>
              <c:f>'Assessment Ratings'!$F$3</c:f>
              <c:numCache>
                <c:formatCode>0.0</c:formatCode>
                <c:ptCount val="1"/>
                <c:pt idx="0">
                  <c:v>1</c:v>
                </c:pt>
              </c:numCache>
            </c:numRef>
          </c:val>
          <c:extLst>
            <c:ext xmlns:c16="http://schemas.microsoft.com/office/drawing/2014/chart" uri="{C3380CC4-5D6E-409C-BE32-E72D297353CC}">
              <c16:uniqueId val="{00000000-2BF3-0D47-857B-C35D517E8EDD}"/>
            </c:ext>
          </c:extLst>
        </c:ser>
        <c:ser>
          <c:idx val="1"/>
          <c:order val="1"/>
          <c:tx>
            <c:strRef>
              <c:f>'Assessment Ratings'!$B$7</c:f>
              <c:strCache>
                <c:ptCount val="1"/>
                <c:pt idx="0">
                  <c:v>Strategic Planning</c:v>
                </c:pt>
              </c:strCache>
            </c:strRef>
          </c:tx>
          <c:spPr>
            <a:solidFill>
              <a:srgbClr val="993366"/>
            </a:solidFill>
            <a:ln w="12700">
              <a:solidFill>
                <a:srgbClr val="000000"/>
              </a:solidFill>
              <a:prstDash val="solid"/>
            </a:ln>
          </c:spPr>
          <c:invertIfNegative val="0"/>
          <c:val>
            <c:numRef>
              <c:f>'Assessment Ratings'!$F$7</c:f>
              <c:numCache>
                <c:formatCode>0.0</c:formatCode>
                <c:ptCount val="1"/>
                <c:pt idx="0">
                  <c:v>1</c:v>
                </c:pt>
              </c:numCache>
            </c:numRef>
          </c:val>
          <c:extLst>
            <c:ext xmlns:c16="http://schemas.microsoft.com/office/drawing/2014/chart" uri="{C3380CC4-5D6E-409C-BE32-E72D297353CC}">
              <c16:uniqueId val="{00000001-2BF3-0D47-857B-C35D517E8EDD}"/>
            </c:ext>
          </c:extLst>
        </c:ser>
        <c:ser>
          <c:idx val="2"/>
          <c:order val="2"/>
          <c:tx>
            <c:strRef>
              <c:f>'Assessment Ratings'!$B$11</c:f>
              <c:strCache>
                <c:ptCount val="1"/>
                <c:pt idx="0">
                  <c:v>Citizen and Market Focus</c:v>
                </c:pt>
              </c:strCache>
            </c:strRef>
          </c:tx>
          <c:spPr>
            <a:solidFill>
              <a:srgbClr val="FFFFCC"/>
            </a:solidFill>
            <a:ln w="12700">
              <a:solidFill>
                <a:srgbClr val="000000"/>
              </a:solidFill>
              <a:prstDash val="solid"/>
            </a:ln>
          </c:spPr>
          <c:invertIfNegative val="0"/>
          <c:val>
            <c:numRef>
              <c:f>'Assessment Ratings'!$F$11</c:f>
              <c:numCache>
                <c:formatCode>0.0</c:formatCode>
                <c:ptCount val="1"/>
                <c:pt idx="0">
                  <c:v>1</c:v>
                </c:pt>
              </c:numCache>
            </c:numRef>
          </c:val>
          <c:extLst>
            <c:ext xmlns:c16="http://schemas.microsoft.com/office/drawing/2014/chart" uri="{C3380CC4-5D6E-409C-BE32-E72D297353CC}">
              <c16:uniqueId val="{00000002-2BF3-0D47-857B-C35D517E8EDD}"/>
            </c:ext>
          </c:extLst>
        </c:ser>
        <c:ser>
          <c:idx val="3"/>
          <c:order val="3"/>
          <c:tx>
            <c:strRef>
              <c:f>'Assessment Ratings'!$B$15</c:f>
              <c:strCache>
                <c:ptCount val="1"/>
                <c:pt idx="0">
                  <c:v>Measurement, Analysis, and Knowledge Management</c:v>
                </c:pt>
              </c:strCache>
            </c:strRef>
          </c:tx>
          <c:spPr>
            <a:solidFill>
              <a:srgbClr val="CCFFFF"/>
            </a:solidFill>
            <a:ln w="12700">
              <a:solidFill>
                <a:srgbClr val="000000"/>
              </a:solidFill>
              <a:prstDash val="solid"/>
            </a:ln>
          </c:spPr>
          <c:invertIfNegative val="0"/>
          <c:val>
            <c:numRef>
              <c:f>'Assessment Ratings'!$F$15</c:f>
              <c:numCache>
                <c:formatCode>0.0</c:formatCode>
                <c:ptCount val="1"/>
                <c:pt idx="0">
                  <c:v>1</c:v>
                </c:pt>
              </c:numCache>
            </c:numRef>
          </c:val>
          <c:extLst>
            <c:ext xmlns:c16="http://schemas.microsoft.com/office/drawing/2014/chart" uri="{C3380CC4-5D6E-409C-BE32-E72D297353CC}">
              <c16:uniqueId val="{00000003-2BF3-0D47-857B-C35D517E8EDD}"/>
            </c:ext>
          </c:extLst>
        </c:ser>
        <c:ser>
          <c:idx val="4"/>
          <c:order val="4"/>
          <c:tx>
            <c:strRef>
              <c:f>'Assessment Ratings'!$B$25</c:f>
              <c:strCache>
                <c:ptCount val="1"/>
                <c:pt idx="0">
                  <c:v>Human Resource Focus</c:v>
                </c:pt>
              </c:strCache>
            </c:strRef>
          </c:tx>
          <c:spPr>
            <a:solidFill>
              <a:srgbClr val="660066"/>
            </a:solidFill>
            <a:ln w="12700">
              <a:solidFill>
                <a:srgbClr val="000000"/>
              </a:solidFill>
              <a:prstDash val="solid"/>
            </a:ln>
          </c:spPr>
          <c:invertIfNegative val="0"/>
          <c:val>
            <c:numRef>
              <c:f>'Assessment Ratings'!$F$25</c:f>
              <c:numCache>
                <c:formatCode>0.0</c:formatCode>
                <c:ptCount val="1"/>
                <c:pt idx="0">
                  <c:v>1</c:v>
                </c:pt>
              </c:numCache>
            </c:numRef>
          </c:val>
          <c:extLst>
            <c:ext xmlns:c16="http://schemas.microsoft.com/office/drawing/2014/chart" uri="{C3380CC4-5D6E-409C-BE32-E72D297353CC}">
              <c16:uniqueId val="{00000004-2BF3-0D47-857B-C35D517E8EDD}"/>
            </c:ext>
          </c:extLst>
        </c:ser>
        <c:ser>
          <c:idx val="5"/>
          <c:order val="5"/>
          <c:tx>
            <c:strRef>
              <c:f>'Assessment Ratings'!$B$29</c:f>
              <c:strCache>
                <c:ptCount val="1"/>
                <c:pt idx="0">
                  <c:v>Process Management</c:v>
                </c:pt>
              </c:strCache>
            </c:strRef>
          </c:tx>
          <c:spPr>
            <a:solidFill>
              <a:srgbClr val="FF8080"/>
            </a:solidFill>
            <a:ln w="12700">
              <a:solidFill>
                <a:srgbClr val="000000"/>
              </a:solidFill>
              <a:prstDash val="solid"/>
            </a:ln>
          </c:spPr>
          <c:invertIfNegative val="0"/>
          <c:val>
            <c:numRef>
              <c:f>'Assessment Ratings'!$F$29</c:f>
              <c:numCache>
                <c:formatCode>0.0</c:formatCode>
                <c:ptCount val="1"/>
                <c:pt idx="0">
                  <c:v>1</c:v>
                </c:pt>
              </c:numCache>
            </c:numRef>
          </c:val>
          <c:extLst>
            <c:ext xmlns:c16="http://schemas.microsoft.com/office/drawing/2014/chart" uri="{C3380CC4-5D6E-409C-BE32-E72D297353CC}">
              <c16:uniqueId val="{00000005-2BF3-0D47-857B-C35D517E8EDD}"/>
            </c:ext>
          </c:extLst>
        </c:ser>
        <c:ser>
          <c:idx val="6"/>
          <c:order val="6"/>
          <c:tx>
            <c:strRef>
              <c:f>'Assessment Ratings'!$B$19</c:f>
              <c:strCache>
                <c:ptCount val="1"/>
                <c:pt idx="0">
                  <c:v>Business Results</c:v>
                </c:pt>
              </c:strCache>
            </c:strRef>
          </c:tx>
          <c:spPr>
            <a:solidFill>
              <a:srgbClr val="0066CC"/>
            </a:solidFill>
            <a:ln w="12700">
              <a:solidFill>
                <a:srgbClr val="000000"/>
              </a:solidFill>
              <a:prstDash val="solid"/>
            </a:ln>
          </c:spPr>
          <c:invertIfNegative val="0"/>
          <c:val>
            <c:numRef>
              <c:f>'Assessment Ratings'!$F$19</c:f>
              <c:numCache>
                <c:formatCode>0.0</c:formatCode>
                <c:ptCount val="1"/>
                <c:pt idx="0">
                  <c:v>1</c:v>
                </c:pt>
              </c:numCache>
            </c:numRef>
          </c:val>
          <c:extLst>
            <c:ext xmlns:c16="http://schemas.microsoft.com/office/drawing/2014/chart" uri="{C3380CC4-5D6E-409C-BE32-E72D297353CC}">
              <c16:uniqueId val="{00000006-2BF3-0D47-857B-C35D517E8EDD}"/>
            </c:ext>
          </c:extLst>
        </c:ser>
        <c:dLbls>
          <c:showLegendKey val="0"/>
          <c:showVal val="0"/>
          <c:showCatName val="0"/>
          <c:showSerName val="0"/>
          <c:showPercent val="0"/>
          <c:showBubbleSize val="0"/>
        </c:dLbls>
        <c:gapWidth val="150"/>
        <c:axId val="1316909311"/>
        <c:axId val="1"/>
      </c:barChart>
      <c:catAx>
        <c:axId val="1316909311"/>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 b="0" i="0" u="none" strike="noStrike" baseline="0">
                <a:solidFill>
                  <a:srgbClr val="000000"/>
                </a:solidFill>
                <a:latin typeface="Arial"/>
                <a:ea typeface="Arial"/>
                <a:cs typeface="Arial"/>
              </a:defRPr>
            </a:pPr>
            <a:endParaRPr lang="en-US"/>
          </a:p>
        </c:txPr>
        <c:crossAx val="1"/>
        <c:crosses val="autoZero"/>
        <c:auto val="1"/>
        <c:lblAlgn val="ctr"/>
        <c:lblOffset val="100"/>
        <c:tickLblSkip val="1"/>
        <c:tickMarkSkip val="1"/>
        <c:noMultiLvlLbl val="0"/>
      </c:catAx>
      <c:valAx>
        <c:axId val="1"/>
        <c:scaling>
          <c:orientation val="minMax"/>
        </c:scaling>
        <c:delete val="0"/>
        <c:axPos val="l"/>
        <c:majorGridlines>
          <c:spPr>
            <a:ln w="3175">
              <a:solidFill>
                <a:srgbClr val="000000"/>
              </a:solidFill>
              <a:prstDash val="solid"/>
            </a:ln>
          </c:spPr>
        </c:majorGridlines>
        <c:numFmt formatCode="0.0" sourceLinked="1"/>
        <c:majorTickMark val="out"/>
        <c:minorTickMark val="none"/>
        <c:tickLblPos val="nextTo"/>
        <c:spPr>
          <a:ln w="3175">
            <a:solidFill>
              <a:srgbClr val="000000"/>
            </a:solidFill>
            <a:prstDash val="solid"/>
          </a:ln>
        </c:spPr>
        <c:txPr>
          <a:bodyPr rot="0" vert="horz"/>
          <a:lstStyle/>
          <a:p>
            <a:pPr>
              <a:defRPr sz="100" b="0" i="0" u="none" strike="noStrike" baseline="0">
                <a:solidFill>
                  <a:srgbClr val="000000"/>
                </a:solidFill>
                <a:latin typeface="Arial"/>
                <a:ea typeface="Arial"/>
                <a:cs typeface="Arial"/>
              </a:defRPr>
            </a:pPr>
            <a:endParaRPr lang="en-US"/>
          </a:p>
        </c:txPr>
        <c:crossAx val="1316909311"/>
        <c:crosses val="autoZero"/>
        <c:crossBetween val="between"/>
      </c:valAx>
      <c:spPr>
        <a:solidFill>
          <a:srgbClr val="C0C0C0"/>
        </a:solidFill>
        <a:ln w="12700">
          <a:solidFill>
            <a:srgbClr val="808080"/>
          </a:solidFill>
          <a:prstDash val="solid"/>
        </a:ln>
      </c:spPr>
    </c:plotArea>
    <c:legend>
      <c:legendPos val="r"/>
      <c:overlay val="0"/>
      <c:spPr>
        <a:solidFill>
          <a:srgbClr val="FFFFFF"/>
        </a:solidFill>
        <a:ln w="25400">
          <a:noFill/>
        </a:ln>
      </c:spPr>
      <c:txPr>
        <a:bodyPr/>
        <a:lstStyle/>
        <a:p>
          <a:pPr>
            <a:defRPr sz="1100" b="0" i="0" u="none" strike="noStrike" baseline="0">
              <a:solidFill>
                <a:srgbClr val="000000"/>
              </a:solidFill>
              <a:latin typeface="Arial"/>
              <a:ea typeface="Arial"/>
              <a:cs typeface="Arial"/>
            </a:defRPr>
          </a:pPr>
          <a:endParaRPr lang="en-US"/>
        </a:p>
      </c:txPr>
    </c:legend>
    <c:plotVisOnly val="1"/>
    <c:dispBlanksAs val="gap"/>
    <c:showDLblsOverMax val="0"/>
  </c:chart>
  <c:spPr>
    <a:noFill/>
    <a:ln w="12700">
      <a:noFill/>
    </a:ln>
  </c:spPr>
  <c:txPr>
    <a:bodyPr/>
    <a:lstStyle/>
    <a:p>
      <a:pPr>
        <a:defRPr sz="1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292100</xdr:colOff>
      <xdr:row>1</xdr:row>
      <xdr:rowOff>88900</xdr:rowOff>
    </xdr:from>
    <xdr:to>
      <xdr:col>8</xdr:col>
      <xdr:colOff>965200</xdr:colOff>
      <xdr:row>6</xdr:row>
      <xdr:rowOff>571500</xdr:rowOff>
    </xdr:to>
    <xdr:graphicFrame macro="">
      <xdr:nvGraphicFramePr>
        <xdr:cNvPr id="1026" name="Chart 2">
          <a:extLst>
            <a:ext uri="{FF2B5EF4-FFF2-40B4-BE49-F238E27FC236}">
              <a16:creationId xmlns:a16="http://schemas.microsoft.com/office/drawing/2014/main" id="{4B6D31AF-3168-374E-E61F-B31C3AFCCA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660400</xdr:colOff>
      <xdr:row>13</xdr:row>
      <xdr:rowOff>38100</xdr:rowOff>
    </xdr:from>
    <xdr:to>
      <xdr:col>10</xdr:col>
      <xdr:colOff>88900</xdr:colOff>
      <xdr:row>28</xdr:row>
      <xdr:rowOff>101600</xdr:rowOff>
    </xdr:to>
    <xdr:graphicFrame macro="">
      <xdr:nvGraphicFramePr>
        <xdr:cNvPr id="1028" name="Chart 4">
          <a:extLst>
            <a:ext uri="{FF2B5EF4-FFF2-40B4-BE49-F238E27FC236}">
              <a16:creationId xmlns:a16="http://schemas.microsoft.com/office/drawing/2014/main" id="{8B789F98-F2B1-BDFD-87B6-D52A55F5A6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685800</xdr:colOff>
      <xdr:row>31</xdr:row>
      <xdr:rowOff>63500</xdr:rowOff>
    </xdr:from>
    <xdr:to>
      <xdr:col>9</xdr:col>
      <xdr:colOff>2171700</xdr:colOff>
      <xdr:row>45</xdr:row>
      <xdr:rowOff>50800</xdr:rowOff>
    </xdr:to>
    <xdr:graphicFrame macro="">
      <xdr:nvGraphicFramePr>
        <xdr:cNvPr id="1029" name="Chart 5">
          <a:extLst>
            <a:ext uri="{FF2B5EF4-FFF2-40B4-BE49-F238E27FC236}">
              <a16:creationId xmlns:a16="http://schemas.microsoft.com/office/drawing/2014/main" id="{AD1574D8-2613-93F2-E295-09CEF322C1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88900</xdr:colOff>
      <xdr:row>48</xdr:row>
      <xdr:rowOff>25400</xdr:rowOff>
    </xdr:from>
    <xdr:to>
      <xdr:col>11</xdr:col>
      <xdr:colOff>76200</xdr:colOff>
      <xdr:row>65</xdr:row>
      <xdr:rowOff>127000</xdr:rowOff>
    </xdr:to>
    <xdr:graphicFrame macro="">
      <xdr:nvGraphicFramePr>
        <xdr:cNvPr id="1030" name="Chart 6">
          <a:extLst>
            <a:ext uri="{FF2B5EF4-FFF2-40B4-BE49-F238E27FC236}">
              <a16:creationId xmlns:a16="http://schemas.microsoft.com/office/drawing/2014/main" id="{85234391-CE09-C90E-454A-311C772809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0</xdr:colOff>
      <xdr:row>68</xdr:row>
      <xdr:rowOff>0</xdr:rowOff>
    </xdr:from>
    <xdr:to>
      <xdr:col>11</xdr:col>
      <xdr:colOff>0</xdr:colOff>
      <xdr:row>68</xdr:row>
      <xdr:rowOff>0</xdr:rowOff>
    </xdr:to>
    <xdr:graphicFrame macro="">
      <xdr:nvGraphicFramePr>
        <xdr:cNvPr id="1031" name="Chart 7">
          <a:extLst>
            <a:ext uri="{FF2B5EF4-FFF2-40B4-BE49-F238E27FC236}">
              <a16:creationId xmlns:a16="http://schemas.microsoft.com/office/drawing/2014/main" id="{C2EEDB55-6EAF-3BC3-984E-72C7BD3AE1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0</xdr:colOff>
      <xdr:row>68</xdr:row>
      <xdr:rowOff>0</xdr:rowOff>
    </xdr:from>
    <xdr:to>
      <xdr:col>13</xdr:col>
      <xdr:colOff>685800</xdr:colOff>
      <xdr:row>68</xdr:row>
      <xdr:rowOff>0</xdr:rowOff>
    </xdr:to>
    <xdr:graphicFrame macro="">
      <xdr:nvGraphicFramePr>
        <xdr:cNvPr id="1032" name="Chart 8">
          <a:extLst>
            <a:ext uri="{FF2B5EF4-FFF2-40B4-BE49-F238E27FC236}">
              <a16:creationId xmlns:a16="http://schemas.microsoft.com/office/drawing/2014/main" id="{D73141F2-9002-E0BC-DA89-145A205728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D04E-54DE-DE47-B457-8EC3455912F1}">
  <dimension ref="B1:K21"/>
  <sheetViews>
    <sheetView tabSelected="1" workbookViewId="0">
      <selection activeCell="N15" sqref="N15"/>
    </sheetView>
  </sheetViews>
  <sheetFormatPr baseColWidth="10" defaultColWidth="9.1640625" defaultRowHeight="13"/>
  <cols>
    <col min="1" max="2" width="9.1640625" style="14"/>
    <col min="3" max="3" width="12.83203125" style="14" customWidth="1"/>
    <col min="4" max="16384" width="9.1640625" style="14"/>
  </cols>
  <sheetData>
    <row r="1" spans="2:11" ht="14" thickBot="1"/>
    <row r="2" spans="2:11" s="15" customFormat="1" ht="27.75" customHeight="1" thickBot="1">
      <c r="B2" s="52" t="s">
        <v>57</v>
      </c>
      <c r="C2" s="53"/>
      <c r="D2" s="53"/>
      <c r="E2" s="53"/>
      <c r="F2" s="53"/>
      <c r="G2" s="53"/>
      <c r="H2" s="53"/>
      <c r="I2" s="53"/>
      <c r="J2" s="53"/>
      <c r="K2" s="54"/>
    </row>
    <row r="3" spans="2:11">
      <c r="B3" s="46" t="s">
        <v>2</v>
      </c>
      <c r="C3" s="47"/>
      <c r="D3" s="55" t="s">
        <v>48</v>
      </c>
      <c r="E3" s="55"/>
      <c r="F3" s="55"/>
      <c r="G3" s="55"/>
      <c r="H3" s="55"/>
      <c r="I3" s="55"/>
      <c r="J3" s="55"/>
      <c r="K3" s="56"/>
    </row>
    <row r="4" spans="2:11">
      <c r="B4" s="48"/>
      <c r="C4" s="49"/>
      <c r="D4" s="50"/>
      <c r="E4" s="50"/>
      <c r="F4" s="50"/>
      <c r="G4" s="50"/>
      <c r="H4" s="50"/>
      <c r="I4" s="50"/>
      <c r="J4" s="50"/>
      <c r="K4" s="51"/>
    </row>
    <row r="5" spans="2:11" ht="32.25" customHeight="1">
      <c r="B5" s="48"/>
      <c r="C5" s="49"/>
      <c r="D5" s="50"/>
      <c r="E5" s="50"/>
      <c r="F5" s="50"/>
      <c r="G5" s="50"/>
      <c r="H5" s="50"/>
      <c r="I5" s="50"/>
      <c r="J5" s="50"/>
      <c r="K5" s="51"/>
    </row>
    <row r="6" spans="2:11">
      <c r="B6" s="48" t="s">
        <v>49</v>
      </c>
      <c r="C6" s="49"/>
      <c r="D6" s="50" t="s">
        <v>59</v>
      </c>
      <c r="E6" s="50"/>
      <c r="F6" s="50"/>
      <c r="G6" s="50"/>
      <c r="H6" s="50"/>
      <c r="I6" s="50"/>
      <c r="J6" s="50"/>
      <c r="K6" s="51"/>
    </row>
    <row r="7" spans="2:11">
      <c r="B7" s="48"/>
      <c r="C7" s="49"/>
      <c r="D7" s="50"/>
      <c r="E7" s="50"/>
      <c r="F7" s="50"/>
      <c r="G7" s="50"/>
      <c r="H7" s="50"/>
      <c r="I7" s="50"/>
      <c r="J7" s="50"/>
      <c r="K7" s="51"/>
    </row>
    <row r="8" spans="2:11" ht="32.25" customHeight="1">
      <c r="B8" s="48"/>
      <c r="C8" s="49"/>
      <c r="D8" s="50"/>
      <c r="E8" s="50"/>
      <c r="F8" s="50"/>
      <c r="G8" s="50"/>
      <c r="H8" s="50"/>
      <c r="I8" s="50"/>
      <c r="J8" s="50"/>
      <c r="K8" s="51"/>
    </row>
    <row r="9" spans="2:11">
      <c r="B9" s="48" t="s">
        <v>4</v>
      </c>
      <c r="C9" s="49"/>
      <c r="D9" s="50" t="s">
        <v>50</v>
      </c>
      <c r="E9" s="50"/>
      <c r="F9" s="50"/>
      <c r="G9" s="50"/>
      <c r="H9" s="50"/>
      <c r="I9" s="50"/>
      <c r="J9" s="50"/>
      <c r="K9" s="51"/>
    </row>
    <row r="10" spans="2:11">
      <c r="B10" s="48"/>
      <c r="C10" s="49"/>
      <c r="D10" s="50"/>
      <c r="E10" s="50"/>
      <c r="F10" s="50"/>
      <c r="G10" s="50"/>
      <c r="H10" s="50"/>
      <c r="I10" s="50"/>
      <c r="J10" s="50"/>
      <c r="K10" s="51"/>
    </row>
    <row r="11" spans="2:11">
      <c r="B11" s="48"/>
      <c r="C11" s="49"/>
      <c r="D11" s="50"/>
      <c r="E11" s="50"/>
      <c r="F11" s="50"/>
      <c r="G11" s="50"/>
      <c r="H11" s="50"/>
      <c r="I11" s="50"/>
      <c r="J11" s="50"/>
      <c r="K11" s="51"/>
    </row>
    <row r="12" spans="2:11">
      <c r="B12" s="48" t="s">
        <v>3</v>
      </c>
      <c r="C12" s="49"/>
      <c r="D12" s="50" t="s">
        <v>51</v>
      </c>
      <c r="E12" s="50"/>
      <c r="F12" s="50"/>
      <c r="G12" s="50"/>
      <c r="H12" s="50"/>
      <c r="I12" s="50"/>
      <c r="J12" s="50"/>
      <c r="K12" s="51"/>
    </row>
    <row r="13" spans="2:11">
      <c r="B13" s="48"/>
      <c r="C13" s="49"/>
      <c r="D13" s="50"/>
      <c r="E13" s="50"/>
      <c r="F13" s="50"/>
      <c r="G13" s="50"/>
      <c r="H13" s="50"/>
      <c r="I13" s="50"/>
      <c r="J13" s="50"/>
      <c r="K13" s="51"/>
    </row>
    <row r="14" spans="2:11">
      <c r="B14" s="48"/>
      <c r="C14" s="49"/>
      <c r="D14" s="50"/>
      <c r="E14" s="50"/>
      <c r="F14" s="50"/>
      <c r="G14" s="50"/>
      <c r="H14" s="50"/>
      <c r="I14" s="50"/>
      <c r="J14" s="50"/>
      <c r="K14" s="51"/>
    </row>
    <row r="15" spans="2:11" ht="12.75" customHeight="1">
      <c r="B15" s="48" t="s">
        <v>5</v>
      </c>
      <c r="C15" s="49"/>
      <c r="D15" s="50" t="s">
        <v>52</v>
      </c>
      <c r="E15" s="50"/>
      <c r="F15" s="50"/>
      <c r="G15" s="50"/>
      <c r="H15" s="50"/>
      <c r="I15" s="50"/>
      <c r="J15" s="50"/>
      <c r="K15" s="51"/>
    </row>
    <row r="16" spans="2:11">
      <c r="B16" s="48"/>
      <c r="C16" s="49"/>
      <c r="D16" s="50"/>
      <c r="E16" s="50"/>
      <c r="F16" s="50"/>
      <c r="G16" s="50"/>
      <c r="H16" s="50"/>
      <c r="I16" s="50"/>
      <c r="J16" s="50"/>
      <c r="K16" s="51"/>
    </row>
    <row r="17" spans="2:11" ht="14" thickBot="1">
      <c r="B17" s="57"/>
      <c r="C17" s="58"/>
      <c r="D17" s="59"/>
      <c r="E17" s="59"/>
      <c r="F17" s="59"/>
      <c r="G17" s="59"/>
      <c r="H17" s="59"/>
      <c r="I17" s="59"/>
      <c r="J17" s="59"/>
      <c r="K17" s="60"/>
    </row>
    <row r="18" spans="2:11" ht="12.75" customHeight="1"/>
    <row r="21" spans="2:11" ht="12.75" customHeight="1"/>
  </sheetData>
  <mergeCells count="11">
    <mergeCell ref="D12:K14"/>
    <mergeCell ref="B3:C5"/>
    <mergeCell ref="B6:C8"/>
    <mergeCell ref="D6:K8"/>
    <mergeCell ref="B2:K2"/>
    <mergeCell ref="D3:K5"/>
    <mergeCell ref="B15:C17"/>
    <mergeCell ref="D15:K17"/>
    <mergeCell ref="B9:C11"/>
    <mergeCell ref="D9:K11"/>
    <mergeCell ref="B12:C14"/>
  </mergeCells>
  <phoneticPr fontId="9" type="noConversion"/>
  <pageMargins left="0.75" right="0.75" top="1" bottom="1" header="0.5" footer="0.5"/>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D75386-42FB-1641-81FC-9408B6D7F973}">
  <sheetPr>
    <outlinePr summaryBelow="0"/>
    <pageSetUpPr autoPageBreaks="0"/>
  </sheetPr>
  <dimension ref="A1:K43"/>
  <sheetViews>
    <sheetView zoomScaleNormal="100" zoomScaleSheetLayoutView="100" workbookViewId="0">
      <pane xSplit="3" ySplit="1" topLeftCell="E18" activePane="bottomRight" state="frozenSplit"/>
      <selection activeCell="C43" sqref="C43"/>
      <selection pane="topRight" activeCell="C43" sqref="C43"/>
      <selection pane="bottomLeft" activeCell="C43" sqref="C43"/>
      <selection pane="bottomRight" activeCell="F43" sqref="F43"/>
    </sheetView>
  </sheetViews>
  <sheetFormatPr baseColWidth="10" defaultColWidth="0" defaultRowHeight="13" outlineLevelRow="2"/>
  <cols>
    <col min="1" max="1" width="2.5" style="16" customWidth="1"/>
    <col min="2" max="2" width="14.33203125" style="1" customWidth="1"/>
    <col min="3" max="3" width="52.5" style="1" bestFit="1" customWidth="1"/>
    <col min="4" max="4" width="14.83203125" style="4" customWidth="1"/>
    <col min="5" max="5" width="36" style="1" customWidth="1"/>
    <col min="6" max="6" width="16" style="4" customWidth="1"/>
    <col min="7" max="7" width="19" style="1" hidden="1" customWidth="1"/>
    <col min="8" max="16384" width="0" style="1" hidden="1"/>
  </cols>
  <sheetData>
    <row r="1" spans="1:6" ht="87" customHeight="1" thickBot="1">
      <c r="A1" s="64"/>
      <c r="B1" s="65"/>
      <c r="C1" s="65"/>
      <c r="D1" s="41" t="s">
        <v>55</v>
      </c>
      <c r="E1" s="42" t="s">
        <v>33</v>
      </c>
      <c r="F1" s="43" t="s">
        <v>34</v>
      </c>
    </row>
    <row r="2" spans="1:6" s="9" customFormat="1" ht="24" customHeight="1" thickBot="1">
      <c r="A2" s="61" t="s">
        <v>35</v>
      </c>
      <c r="B2" s="62"/>
      <c r="C2" s="62"/>
      <c r="D2" s="62"/>
      <c r="E2" s="62"/>
      <c r="F2" s="63"/>
    </row>
    <row r="3" spans="1:6" outlineLevel="1">
      <c r="B3" s="36" t="s">
        <v>38</v>
      </c>
      <c r="C3" s="3"/>
      <c r="D3" s="5"/>
      <c r="E3" s="2"/>
      <c r="F3" s="40">
        <f>AVERAGE(D4:D6)</f>
        <v>1</v>
      </c>
    </row>
    <row r="4" spans="1:6" ht="14" outlineLevel="2">
      <c r="B4" s="6">
        <v>1</v>
      </c>
      <c r="C4" s="7" t="s">
        <v>11</v>
      </c>
      <c r="D4" s="44">
        <v>1</v>
      </c>
      <c r="E4" s="7"/>
      <c r="F4" s="7"/>
    </row>
    <row r="5" spans="1:6" ht="28" outlineLevel="2">
      <c r="B5" s="6">
        <v>2</v>
      </c>
      <c r="C5" s="7" t="s">
        <v>12</v>
      </c>
      <c r="D5" s="44">
        <v>1</v>
      </c>
      <c r="E5" s="7"/>
      <c r="F5" s="7"/>
    </row>
    <row r="6" spans="1:6" ht="28" outlineLevel="2">
      <c r="B6" s="6">
        <v>3</v>
      </c>
      <c r="C6" s="7" t="s">
        <v>13</v>
      </c>
      <c r="D6" s="44">
        <v>1</v>
      </c>
      <c r="E6" s="7"/>
      <c r="F6" s="7"/>
    </row>
    <row r="7" spans="1:6" outlineLevel="1">
      <c r="B7" s="37" t="s">
        <v>39</v>
      </c>
      <c r="C7" s="3"/>
      <c r="D7" s="5"/>
      <c r="E7" s="2"/>
      <c r="F7" s="25">
        <f>AVERAGE(D8:D8)</f>
        <v>1</v>
      </c>
    </row>
    <row r="8" spans="1:6" ht="28" outlineLevel="2">
      <c r="B8" s="6">
        <v>4</v>
      </c>
      <c r="C8" s="7" t="s">
        <v>32</v>
      </c>
      <c r="D8" s="44">
        <v>1</v>
      </c>
      <c r="E8" s="7"/>
      <c r="F8" s="7"/>
    </row>
    <row r="9" spans="1:6" ht="28" outlineLevel="2">
      <c r="B9" s="6">
        <v>5</v>
      </c>
      <c r="C9" s="7" t="s">
        <v>14</v>
      </c>
      <c r="D9" s="44">
        <v>1</v>
      </c>
      <c r="E9" s="7"/>
      <c r="F9" s="7"/>
    </row>
    <row r="10" spans="1:6" ht="28" outlineLevel="2">
      <c r="B10" s="6">
        <v>6</v>
      </c>
      <c r="C10" s="7" t="s">
        <v>15</v>
      </c>
      <c r="D10" s="44">
        <v>1</v>
      </c>
      <c r="E10" s="7"/>
      <c r="F10" s="7"/>
    </row>
    <row r="11" spans="1:6" outlineLevel="1">
      <c r="B11" s="37" t="s">
        <v>40</v>
      </c>
      <c r="C11" s="3"/>
      <c r="D11" s="5"/>
      <c r="E11" s="2"/>
      <c r="F11" s="25">
        <f>AVERAGE(D12:D14)</f>
        <v>1</v>
      </c>
    </row>
    <row r="12" spans="1:6" ht="28" outlineLevel="2">
      <c r="B12" s="6">
        <v>7</v>
      </c>
      <c r="C12" s="7" t="s">
        <v>18</v>
      </c>
      <c r="D12" s="44">
        <v>1</v>
      </c>
      <c r="E12" s="7"/>
      <c r="F12" s="7"/>
    </row>
    <row r="13" spans="1:6" ht="28" outlineLevel="2">
      <c r="B13" s="6">
        <v>8</v>
      </c>
      <c r="C13" s="7" t="s">
        <v>16</v>
      </c>
      <c r="D13" s="44">
        <v>1</v>
      </c>
      <c r="E13" s="7"/>
      <c r="F13" s="7"/>
    </row>
    <row r="14" spans="1:6" ht="28" outlineLevel="2">
      <c r="B14" s="6">
        <v>9</v>
      </c>
      <c r="C14" s="7" t="s">
        <v>17</v>
      </c>
      <c r="D14" s="44">
        <v>1</v>
      </c>
      <c r="E14" s="7"/>
      <c r="F14" s="7"/>
    </row>
    <row r="15" spans="1:6" outlineLevel="1">
      <c r="B15" s="37" t="s">
        <v>41</v>
      </c>
      <c r="C15" s="3"/>
      <c r="D15" s="5"/>
      <c r="E15" s="2"/>
      <c r="F15" s="25">
        <f>AVERAGE(D16:D18)</f>
        <v>1</v>
      </c>
    </row>
    <row r="16" spans="1:6" ht="28" outlineLevel="2">
      <c r="B16" s="6">
        <v>10</v>
      </c>
      <c r="C16" s="7" t="s">
        <v>19</v>
      </c>
      <c r="D16" s="44">
        <v>1</v>
      </c>
      <c r="E16" s="7"/>
      <c r="F16" s="7"/>
    </row>
    <row r="17" spans="1:11" ht="28" outlineLevel="2">
      <c r="B17" s="6">
        <v>11</v>
      </c>
      <c r="C17" s="7" t="s">
        <v>20</v>
      </c>
      <c r="D17" s="44">
        <v>1</v>
      </c>
      <c r="E17" s="7"/>
      <c r="F17" s="7"/>
    </row>
    <row r="18" spans="1:11" ht="28" outlineLevel="2">
      <c r="B18" s="6">
        <v>12</v>
      </c>
      <c r="C18" s="7" t="s">
        <v>21</v>
      </c>
      <c r="D18" s="44">
        <v>1</v>
      </c>
      <c r="E18" s="7"/>
      <c r="F18" s="7"/>
    </row>
    <row r="19" spans="1:11" outlineLevel="1">
      <c r="B19" s="37" t="s">
        <v>42</v>
      </c>
      <c r="C19" s="3"/>
      <c r="D19" s="5"/>
      <c r="E19" s="2"/>
      <c r="F19" s="25">
        <f>AVERAGE(D20:D22)</f>
        <v>1</v>
      </c>
    </row>
    <row r="20" spans="1:11" ht="25.5" customHeight="1" outlineLevel="2">
      <c r="B20" s="6">
        <v>13</v>
      </c>
      <c r="C20" s="7" t="s">
        <v>56</v>
      </c>
      <c r="D20" s="44">
        <v>1</v>
      </c>
      <c r="E20" s="7"/>
      <c r="F20" s="7"/>
    </row>
    <row r="21" spans="1:11" ht="25.5" customHeight="1" outlineLevel="2">
      <c r="B21" s="6">
        <v>14</v>
      </c>
      <c r="C21" s="7" t="s">
        <v>22</v>
      </c>
      <c r="D21" s="44">
        <v>1</v>
      </c>
      <c r="E21" s="7"/>
      <c r="F21" s="7"/>
    </row>
    <row r="22" spans="1:11" ht="26.25" customHeight="1" outlineLevel="2" thickBot="1">
      <c r="B22" s="11">
        <v>15</v>
      </c>
      <c r="C22" s="12" t="s">
        <v>58</v>
      </c>
      <c r="D22" s="45">
        <v>1</v>
      </c>
      <c r="E22" s="7"/>
      <c r="F22" s="12"/>
    </row>
    <row r="23" spans="1:11" s="8" customFormat="1" ht="21.75" customHeight="1" outlineLevel="1" thickTop="1" thickBot="1">
      <c r="A23" s="17"/>
      <c r="B23" s="38"/>
      <c r="C23" s="24"/>
      <c r="D23" s="23"/>
      <c r="E23" s="23"/>
      <c r="F23" s="26">
        <f>AVERAGE(F3,F7,F11,F15,F19)</f>
        <v>1</v>
      </c>
    </row>
    <row r="24" spans="1:11" s="9" customFormat="1" ht="24" customHeight="1" thickBot="1">
      <c r="A24" s="61" t="s">
        <v>36</v>
      </c>
      <c r="B24" s="62"/>
      <c r="C24" s="62"/>
      <c r="D24" s="62"/>
      <c r="E24" s="62"/>
      <c r="F24" s="63">
        <f>AVERAGE(F25,F29)</f>
        <v>1</v>
      </c>
    </row>
    <row r="25" spans="1:11" ht="14" outlineLevel="1" thickBot="1">
      <c r="B25" s="36" t="s">
        <v>43</v>
      </c>
      <c r="C25" s="3"/>
      <c r="D25" s="5"/>
      <c r="E25" s="2"/>
      <c r="F25" s="40">
        <f>AVERAGE(D26:D28)</f>
        <v>1</v>
      </c>
      <c r="H25" s="66"/>
      <c r="I25" s="66"/>
      <c r="J25" s="66"/>
      <c r="K25" s="10"/>
    </row>
    <row r="26" spans="1:11" ht="28" outlineLevel="2">
      <c r="B26" s="6">
        <v>16</v>
      </c>
      <c r="C26" s="7" t="s">
        <v>25</v>
      </c>
      <c r="D26" s="44">
        <v>1</v>
      </c>
      <c r="E26" s="7"/>
      <c r="F26" s="7"/>
    </row>
    <row r="27" spans="1:11" ht="28" outlineLevel="2">
      <c r="B27" s="6">
        <v>17</v>
      </c>
      <c r="C27" s="7" t="s">
        <v>23</v>
      </c>
      <c r="D27" s="44">
        <v>1</v>
      </c>
      <c r="E27" s="7"/>
      <c r="F27" s="7"/>
    </row>
    <row r="28" spans="1:11" ht="28" outlineLevel="2">
      <c r="B28" s="6">
        <v>18</v>
      </c>
      <c r="C28" s="7" t="s">
        <v>24</v>
      </c>
      <c r="D28" s="44">
        <v>1</v>
      </c>
      <c r="E28" s="7"/>
      <c r="F28" s="7"/>
    </row>
    <row r="29" spans="1:11" outlineLevel="1">
      <c r="B29" s="37" t="s">
        <v>44</v>
      </c>
      <c r="C29" s="3"/>
      <c r="D29" s="5"/>
      <c r="E29" s="2"/>
      <c r="F29" s="25">
        <f>AVERAGE(D30:D32)</f>
        <v>1</v>
      </c>
    </row>
    <row r="30" spans="1:11" ht="38.25" customHeight="1" outlineLevel="2">
      <c r="B30" s="6">
        <v>19</v>
      </c>
      <c r="C30" s="7" t="s">
        <v>28</v>
      </c>
      <c r="D30" s="44">
        <v>1</v>
      </c>
      <c r="E30" s="7"/>
      <c r="F30" s="7"/>
    </row>
    <row r="31" spans="1:11" ht="25.5" customHeight="1" outlineLevel="2">
      <c r="B31" s="6">
        <v>20</v>
      </c>
      <c r="C31" s="7" t="s">
        <v>27</v>
      </c>
      <c r="D31" s="44">
        <v>1</v>
      </c>
      <c r="E31" s="7"/>
      <c r="F31" s="7"/>
    </row>
    <row r="32" spans="1:11" ht="25.5" customHeight="1" outlineLevel="2" thickBot="1">
      <c r="B32" s="6">
        <v>21</v>
      </c>
      <c r="C32" s="7" t="s">
        <v>26</v>
      </c>
      <c r="D32" s="44">
        <v>1</v>
      </c>
      <c r="E32" s="7"/>
      <c r="F32" s="7"/>
    </row>
    <row r="33" spans="1:6" s="8" customFormat="1" ht="21.75" customHeight="1" outlineLevel="1" thickTop="1" thickBot="1">
      <c r="A33" s="17"/>
      <c r="B33" s="38"/>
      <c r="C33" s="24"/>
      <c r="D33" s="23"/>
      <c r="E33" s="23"/>
      <c r="F33" s="26">
        <f>AVERAGE(F25,F29)</f>
        <v>1</v>
      </c>
    </row>
    <row r="34" spans="1:6" s="9" customFormat="1" ht="24" customHeight="1" thickBot="1">
      <c r="A34" s="61" t="s">
        <v>37</v>
      </c>
      <c r="B34" s="62"/>
      <c r="C34" s="62"/>
      <c r="D34" s="62"/>
      <c r="E34" s="62"/>
      <c r="F34" s="63"/>
    </row>
    <row r="35" spans="1:6" outlineLevel="1">
      <c r="B35" s="36" t="s">
        <v>45</v>
      </c>
      <c r="C35" s="3"/>
      <c r="D35" s="5"/>
      <c r="E35" s="2"/>
      <c r="F35" s="40">
        <f>AVERAGE(D36:D38)</f>
        <v>1</v>
      </c>
    </row>
    <row r="36" spans="1:6" ht="28" outlineLevel="2">
      <c r="B36" s="6">
        <v>22</v>
      </c>
      <c r="C36" s="7" t="s">
        <v>31</v>
      </c>
      <c r="D36" s="44">
        <v>1</v>
      </c>
      <c r="E36" s="7"/>
      <c r="F36" s="7"/>
    </row>
    <row r="37" spans="1:6" ht="28" outlineLevel="2">
      <c r="B37" s="6">
        <v>23</v>
      </c>
      <c r="C37" s="7" t="s">
        <v>30</v>
      </c>
      <c r="D37" s="44">
        <v>1</v>
      </c>
      <c r="E37" s="7"/>
      <c r="F37" s="7"/>
    </row>
    <row r="38" spans="1:6" ht="14" outlineLevel="2">
      <c r="B38" s="6">
        <v>24</v>
      </c>
      <c r="C38" s="7" t="s">
        <v>29</v>
      </c>
      <c r="D38" s="44">
        <v>1</v>
      </c>
      <c r="E38" s="7"/>
      <c r="F38" s="7"/>
    </row>
    <row r="39" spans="1:6" outlineLevel="1">
      <c r="B39" s="37" t="s">
        <v>46</v>
      </c>
      <c r="C39" s="3"/>
      <c r="D39" s="5"/>
      <c r="E39" s="2"/>
      <c r="F39" s="25">
        <f>AVERAGE(D40:D42)</f>
        <v>1</v>
      </c>
    </row>
    <row r="40" spans="1:6" ht="28" outlineLevel="2">
      <c r="B40" s="6">
        <v>25</v>
      </c>
      <c r="C40" s="7" t="s">
        <v>53</v>
      </c>
      <c r="D40" s="44">
        <v>1</v>
      </c>
      <c r="E40" s="7"/>
      <c r="F40" s="7"/>
    </row>
    <row r="41" spans="1:6" ht="33.75" customHeight="1" outlineLevel="2">
      <c r="B41" s="6">
        <v>26</v>
      </c>
      <c r="C41" s="7" t="s">
        <v>54</v>
      </c>
      <c r="D41" s="44">
        <v>1</v>
      </c>
      <c r="E41" s="7"/>
      <c r="F41" s="7"/>
    </row>
    <row r="42" spans="1:6" ht="15" outlineLevel="2" thickBot="1">
      <c r="B42" s="6">
        <v>27</v>
      </c>
      <c r="C42" s="7" t="s">
        <v>0</v>
      </c>
      <c r="D42" s="44">
        <v>1</v>
      </c>
      <c r="E42" s="7"/>
      <c r="F42" s="7"/>
    </row>
    <row r="43" spans="1:6" s="8" customFormat="1" ht="21.75" customHeight="1" outlineLevel="1" thickTop="1">
      <c r="A43" s="17"/>
      <c r="B43" s="39"/>
      <c r="C43" s="28"/>
      <c r="D43" s="27"/>
      <c r="E43" s="27"/>
      <c r="F43" s="29">
        <f>AVERAGE(F35,F39)</f>
        <v>1</v>
      </c>
    </row>
  </sheetData>
  <customSheetViews>
    <customSheetView guid="{28FADFC6-F3F6-11D2-982A-E4BA0CC10000}" printArea="1" showRuler="0">
      <pane xSplit="3" ySplit="1" topLeftCell="E2" activePane="bottomRight" state="frozenSplit"/>
      <selection pane="bottomRight" activeCell="H103" sqref="H103"/>
      <rowBreaks count="5" manualBreakCount="5">
        <brk id="21" max="7" man="1"/>
        <brk id="33" max="7" man="1"/>
        <brk id="38" max="7" man="1"/>
        <brk id="59" max="7" man="1"/>
        <brk id="84" max="7" man="1"/>
      </rowBreaks>
      <pageMargins left="0.75" right="0.75" top="1" bottom="1" header="0.5" footer="0.5"/>
      <pageSetup scale="85" fitToHeight="9" orientation="landscape"/>
      <headerFooter alignWithMargins="0"/>
      <extLst>
        <ext xmlns:xlsdti="http://schemas.microsoft.com/office/spreadsheetml/2023/showDataTypeIcons" uri="{a3c15fd4-4149-4032-8f15-062bd4999b60}">
          <xlsdti:showDataTypeIconsCustomSheetView visible="0"/>
        </ext>
      </extLst>
    </customSheetView>
    <customSheetView guid="{28FADFC5-F3F6-11D2-982A-E4BA0CC10000}" printArea="1" hiddenRows="1" hiddenColumns="1" showRuler="0">
      <pane xSplit="3" ySplit="1" topLeftCell="D2" activePane="bottomRight" state="frozenSplit"/>
      <selection pane="bottomRight" activeCell="D1" sqref="D1:D65536"/>
      <rowBreaks count="5" manualBreakCount="5">
        <brk id="21" max="7" man="1"/>
        <brk id="33" max="7" man="1"/>
        <brk id="38" max="7" man="1"/>
        <brk id="59" max="7" man="1"/>
        <brk id="84" max="7" man="1"/>
      </rowBreaks>
      <pageMargins left="0.75" right="0.75" top="1" bottom="1" header="0.5" footer="0.5"/>
      <pageSetup scale="85" fitToHeight="9" orientation="landscape"/>
      <headerFooter alignWithMargins="0"/>
      <extLst>
        <ext xmlns:xlsdti="http://schemas.microsoft.com/office/spreadsheetml/2023/showDataTypeIcons" uri="{a3c15fd4-4149-4032-8f15-062bd4999b60}">
          <xlsdti:showDataTypeIconsCustomSheetView visible="0"/>
        </ext>
      </extLst>
    </customSheetView>
  </customSheetViews>
  <mergeCells count="5">
    <mergeCell ref="A34:F34"/>
    <mergeCell ref="A1:C1"/>
    <mergeCell ref="H25:J25"/>
    <mergeCell ref="A2:F2"/>
    <mergeCell ref="A24:F24"/>
  </mergeCells>
  <phoneticPr fontId="9" type="noConversion"/>
  <dataValidations count="2">
    <dataValidation type="whole" showInputMessage="1" sqref="F46:F65536 F1 F3:F33 F35:F43" xr:uid="{5484C052-B8B5-E241-B26F-AB82E0BFAC43}">
      <formula1>0</formula1>
      <formula2>10</formula2>
    </dataValidation>
    <dataValidation type="whole" allowBlank="1" showInputMessage="1" showErrorMessage="1" sqref="D4:D22 D36:D42 D26:D32" xr:uid="{61010E64-FAF0-E84E-9823-D07A7D14D849}">
      <formula1>1</formula1>
      <formula2>5</formula2>
    </dataValidation>
  </dataValidations>
  <pageMargins left="0.75" right="0.75" top="1" bottom="1" header="0.5" footer="0.5"/>
  <pageSetup scale="85" fitToHeight="9" orientation="landscape"/>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2AF0F4-A97C-D843-B759-90C4CE844B43}">
  <dimension ref="A1:Q48"/>
  <sheetViews>
    <sheetView topLeftCell="A25" zoomScale="75" workbookViewId="0">
      <selection activeCell="K5" sqref="K5"/>
    </sheetView>
  </sheetViews>
  <sheetFormatPr baseColWidth="10" defaultColWidth="9.1640625" defaultRowHeight="13.5" customHeight="1"/>
  <cols>
    <col min="1" max="1" width="9.1640625" style="19"/>
    <col min="2" max="2" width="9.1640625" style="20"/>
    <col min="3" max="4" width="9.1640625" style="18"/>
    <col min="5" max="5" width="15.5" style="18" bestFit="1" customWidth="1"/>
    <col min="6" max="7" width="9.1640625" style="18"/>
    <col min="8" max="8" width="20.5" style="18" customWidth="1"/>
    <col min="9" max="9" width="33.1640625" style="18" bestFit="1" customWidth="1"/>
    <col min="10" max="10" width="31" style="18" bestFit="1" customWidth="1"/>
    <col min="11" max="11" width="23" style="18" bestFit="1" customWidth="1"/>
    <col min="12" max="16384" width="9.1640625" style="18"/>
  </cols>
  <sheetData>
    <row r="1" spans="1:17" ht="20">
      <c r="A1" s="67" t="s">
        <v>3</v>
      </c>
      <c r="B1" s="67"/>
      <c r="C1" s="67"/>
      <c r="D1" s="67"/>
      <c r="J1" s="13" t="s">
        <v>4</v>
      </c>
    </row>
    <row r="2" spans="1:17" ht="13.5" customHeight="1" thickBot="1"/>
    <row r="3" spans="1:17" ht="64.5" customHeight="1">
      <c r="J3" s="32" t="s">
        <v>1</v>
      </c>
      <c r="K3" s="33" t="s">
        <v>47</v>
      </c>
      <c r="L3" s="75" t="s">
        <v>6</v>
      </c>
      <c r="M3" s="75"/>
      <c r="N3" s="75"/>
      <c r="O3" s="75"/>
      <c r="P3" s="75"/>
      <c r="Q3" s="76"/>
    </row>
    <row r="4" spans="1:17" ht="74.25" customHeight="1">
      <c r="J4" s="30" t="str">
        <f>'Assessment Ratings'!A34</f>
        <v>INFORMATION CAPITAL</v>
      </c>
      <c r="K4" s="21">
        <f>'Assessment Ratings'!F43</f>
        <v>1</v>
      </c>
      <c r="L4" s="68"/>
      <c r="M4" s="68"/>
      <c r="N4" s="68"/>
      <c r="O4" s="68"/>
      <c r="P4" s="68"/>
      <c r="Q4" s="69"/>
    </row>
    <row r="5" spans="1:17" ht="65.25" customHeight="1">
      <c r="J5" s="30" t="str">
        <f>'Assessment Ratings'!A24</f>
        <v>HUMAN CAPITAL</v>
      </c>
      <c r="K5" s="21">
        <f>'Assessment Ratings'!F33</f>
        <v>1</v>
      </c>
      <c r="L5" s="68"/>
      <c r="M5" s="68"/>
      <c r="N5" s="68"/>
      <c r="O5" s="68"/>
      <c r="P5" s="68"/>
      <c r="Q5" s="69"/>
    </row>
    <row r="6" spans="1:17" ht="87" customHeight="1" thickBot="1">
      <c r="J6" s="31" t="str">
        <f>'Assessment Ratings'!A2</f>
        <v>ORGANIZATIONAL CAPITAL</v>
      </c>
      <c r="K6" s="22">
        <f>'Assessment Ratings'!F23</f>
        <v>1</v>
      </c>
      <c r="L6" s="70"/>
      <c r="M6" s="70"/>
      <c r="N6" s="70"/>
      <c r="O6" s="70"/>
      <c r="P6" s="70"/>
      <c r="Q6" s="71"/>
    </row>
    <row r="7" spans="1:17" ht="65.25" customHeight="1" thickTop="1" thickBot="1">
      <c r="J7" s="34" t="s">
        <v>7</v>
      </c>
      <c r="K7" s="35">
        <f>AVERAGE(K4:K6)</f>
        <v>1</v>
      </c>
      <c r="L7" s="72"/>
      <c r="M7" s="73"/>
      <c r="N7" s="73"/>
      <c r="O7" s="73"/>
      <c r="P7" s="73"/>
      <c r="Q7" s="74"/>
    </row>
    <row r="11" spans="1:17" ht="20">
      <c r="A11" s="67" t="s">
        <v>5</v>
      </c>
      <c r="B11" s="67"/>
      <c r="C11" s="67"/>
      <c r="D11" s="67"/>
    </row>
    <row r="13" spans="1:17" ht="20">
      <c r="B13" s="19" t="s">
        <v>8</v>
      </c>
    </row>
    <row r="31" spans="2:2" ht="20">
      <c r="B31" s="19" t="s">
        <v>9</v>
      </c>
    </row>
    <row r="48" spans="2:2" ht="20">
      <c r="B48" s="19" t="s">
        <v>10</v>
      </c>
    </row>
  </sheetData>
  <customSheetViews>
    <customSheetView guid="{28FADFC6-F3F6-11D2-982A-E4BA0CC10000}" showRuler="0">
      <pageMargins left="0.75" right="0.75" top="1" bottom="1" header="0.5" footer="0.5"/>
      <headerFooter alignWithMargins="0"/>
      <extLst>
        <ext xmlns:xlsdti="http://schemas.microsoft.com/office/spreadsheetml/2023/showDataTypeIcons" uri="{a3c15fd4-4149-4032-8f15-062bd4999b60}">
          <xlsdti:showDataTypeIconsCustomSheetView visible="0"/>
        </ext>
      </extLst>
    </customSheetView>
    <customSheetView guid="{28FADFC5-F3F6-11D2-982A-E4BA0CC10000}" showRuler="0">
      <pageMargins left="0.75" right="0.75" top="1" bottom="1" header="0.5" footer="0.5"/>
      <headerFooter alignWithMargins="0"/>
      <extLst>
        <ext xmlns:xlsdti="http://schemas.microsoft.com/office/spreadsheetml/2023/showDataTypeIcons" uri="{a3c15fd4-4149-4032-8f15-062bd4999b60}">
          <xlsdti:showDataTypeIconsCustomSheetView visible="0"/>
        </ext>
      </extLst>
    </customSheetView>
  </customSheetViews>
  <mergeCells count="7">
    <mergeCell ref="A1:D1"/>
    <mergeCell ref="A11:D11"/>
    <mergeCell ref="L5:Q5"/>
    <mergeCell ref="L6:Q6"/>
    <mergeCell ref="L7:Q7"/>
    <mergeCell ref="L3:Q3"/>
    <mergeCell ref="L4:Q4"/>
  </mergeCells>
  <phoneticPr fontId="9" type="noConversion"/>
  <pageMargins left="0.75" right="0.75" top="1" bottom="1" header="0.5" footer="0.5"/>
  <pageSetup orientation="portrait"/>
  <headerFooter alignWithMargins="0"/>
  <cellWatches>
    <cellWatch r="J4"/>
  </cellWatches>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2</vt:i4>
      </vt:variant>
    </vt:vector>
  </HeadingPairs>
  <TitlesOfParts>
    <vt:vector size="5" baseType="lpstr">
      <vt:lpstr>Intro</vt:lpstr>
      <vt:lpstr>Assessment Ratings</vt:lpstr>
      <vt:lpstr>Visuals</vt:lpstr>
      <vt:lpstr>'Assessment Ratings'!Print_Area</vt:lpstr>
      <vt:lpstr>'Assessment Ratings'!Print_Titles</vt:lpstr>
    </vt:vector>
  </TitlesOfParts>
  <Company>Sapient Corporation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Steve Van Til</dc:creator>
  <cp:lastModifiedBy>Brian O’Mullane</cp:lastModifiedBy>
  <cp:lastPrinted>1999-04-14T15:21:41Z</cp:lastPrinted>
  <dcterms:created xsi:type="dcterms:W3CDTF">1999-02-22T15:15:37Z</dcterms:created>
  <dcterms:modified xsi:type="dcterms:W3CDTF">2026-03-10T15:46:20Z</dcterms:modified>
</cp:coreProperties>
</file>